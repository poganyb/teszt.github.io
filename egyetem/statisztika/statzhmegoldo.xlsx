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gany.b\Downloads\"/>
    </mc:Choice>
  </mc:AlternateContent>
  <xr:revisionPtr revIDLastSave="0" documentId="13_ncr:1_{B1775EAB-921E-44DA-A7D9-0C09AACFFF23}" xr6:coauthVersionLast="47" xr6:coauthVersionMax="47" xr10:uidLastSave="{00000000-0000-0000-0000-000000000000}"/>
  <bookViews>
    <workbookView xWindow="-26040" yWindow="2175" windowWidth="23040" windowHeight="11370" firstSheet="1" activeTab="7" xr2:uid="{74FF24F6-30ED-7A4D-8A0B-6B75381F522B}"/>
  </bookViews>
  <sheets>
    <sheet name="1fő beruházás" sheetId="1" r:id="rId1"/>
    <sheet name="Sör, üdito,energiaital" sheetId="2" r:id="rId2"/>
    <sheet name="Munka5" sheetId="8" r:id="rId3"/>
    <sheet name="Torta, Ecset, habverő" sheetId="3" r:id="rId4"/>
    <sheet name="Munka4" sheetId="4" r:id="rId5"/>
    <sheet name="gyakorlas" sheetId="5" r:id="rId6"/>
    <sheet name="Munka2" sheetId="6" r:id="rId7"/>
    <sheet name="most" sheetId="11" r:id="rId8"/>
    <sheet name="Munka6" sheetId="9" r:id="rId9"/>
    <sheet name="OKJ" sheetId="7" r:id="rId10"/>
    <sheet name="Munka1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3" i="11" l="1"/>
  <c r="A112" i="11"/>
  <c r="G109" i="11"/>
  <c r="F109" i="11"/>
  <c r="G107" i="11"/>
  <c r="G108" i="11"/>
  <c r="G106" i="11"/>
  <c r="F107" i="11"/>
  <c r="F108" i="11"/>
  <c r="F106" i="11"/>
  <c r="A98" i="11"/>
  <c r="B95" i="11"/>
  <c r="C95" i="11"/>
  <c r="G95" i="11"/>
  <c r="F95" i="11"/>
  <c r="H93" i="11"/>
  <c r="H94" i="11"/>
  <c r="H92" i="11"/>
  <c r="G93" i="11"/>
  <c r="G94" i="11"/>
  <c r="G92" i="11"/>
  <c r="F93" i="11"/>
  <c r="F94" i="11"/>
  <c r="F92" i="11"/>
  <c r="A82" i="11"/>
  <c r="A81" i="11"/>
  <c r="B78" i="11"/>
  <c r="C78" i="11"/>
  <c r="G78" i="11"/>
  <c r="F78" i="11"/>
  <c r="G76" i="11"/>
  <c r="G77" i="11"/>
  <c r="G75" i="11"/>
  <c r="F76" i="11"/>
  <c r="F77" i="11"/>
  <c r="F75" i="11"/>
  <c r="A71" i="11"/>
  <c r="A70" i="11"/>
  <c r="A69" i="11"/>
  <c r="G65" i="11"/>
  <c r="F65" i="11"/>
  <c r="G63" i="11"/>
  <c r="G64" i="11"/>
  <c r="G62" i="11"/>
  <c r="F63" i="11"/>
  <c r="F64" i="11"/>
  <c r="F62" i="11"/>
  <c r="A56" i="11"/>
  <c r="A55" i="11"/>
  <c r="B54" i="11"/>
  <c r="G49" i="11"/>
  <c r="F49" i="11"/>
  <c r="G47" i="11"/>
  <c r="G48" i="11"/>
  <c r="G46" i="11"/>
  <c r="F47" i="11"/>
  <c r="F48" i="11"/>
  <c r="F46" i="11"/>
  <c r="A40" i="11"/>
  <c r="A39" i="11"/>
  <c r="G35" i="11"/>
  <c r="G33" i="11"/>
  <c r="G34" i="11"/>
  <c r="B36" i="11"/>
  <c r="C36" i="11"/>
  <c r="F36" i="11"/>
  <c r="F35" i="11"/>
  <c r="F34" i="11"/>
  <c r="F33" i="11"/>
  <c r="E36" i="11"/>
  <c r="E35" i="11"/>
  <c r="E34" i="11"/>
  <c r="E33" i="11"/>
  <c r="A26" i="11"/>
  <c r="A24" i="11"/>
  <c r="B21" i="11"/>
  <c r="C21" i="11"/>
  <c r="E20" i="11"/>
  <c r="E19" i="11"/>
  <c r="E18" i="11"/>
  <c r="E21" i="11" s="1"/>
  <c r="F21" i="11"/>
  <c r="F20" i="11"/>
  <c r="F19" i="11"/>
  <c r="F18" i="11"/>
  <c r="B12" i="11"/>
  <c r="B11" i="11"/>
  <c r="H7" i="11"/>
  <c r="F7" i="11"/>
  <c r="H5" i="11"/>
  <c r="H6" i="11"/>
  <c r="H4" i="11"/>
  <c r="F5" i="11"/>
  <c r="F6" i="11"/>
  <c r="F4" i="11"/>
  <c r="B10" i="11"/>
  <c r="I139" i="6"/>
  <c r="G139" i="6"/>
  <c r="H139" i="6"/>
  <c r="F139" i="6"/>
  <c r="I137" i="6"/>
  <c r="I138" i="6"/>
  <c r="I136" i="6"/>
  <c r="H137" i="6"/>
  <c r="H138" i="6"/>
  <c r="H136" i="6"/>
  <c r="G137" i="6"/>
  <c r="G138" i="6"/>
  <c r="G136" i="6"/>
  <c r="F137" i="6"/>
  <c r="F138" i="6"/>
  <c r="F136" i="6"/>
  <c r="B128" i="6"/>
  <c r="B127" i="6"/>
  <c r="H122" i="6"/>
  <c r="H120" i="6"/>
  <c r="H121" i="6"/>
  <c r="H119" i="6"/>
  <c r="F120" i="6"/>
  <c r="F121" i="6"/>
  <c r="F119" i="6"/>
  <c r="B126" i="6"/>
  <c r="C108" i="6"/>
  <c r="L109" i="6"/>
  <c r="G104" i="6"/>
  <c r="H104" i="6"/>
  <c r="I104" i="6"/>
  <c r="F104" i="6"/>
  <c r="I102" i="6"/>
  <c r="I103" i="6"/>
  <c r="I101" i="6"/>
  <c r="H102" i="6"/>
  <c r="H103" i="6"/>
  <c r="H101" i="6"/>
  <c r="G102" i="6"/>
  <c r="G103" i="6"/>
  <c r="G101" i="6"/>
  <c r="F102" i="6"/>
  <c r="F103" i="6"/>
  <c r="F101" i="6"/>
  <c r="A95" i="6"/>
  <c r="A94" i="6"/>
  <c r="A93" i="6"/>
  <c r="G87" i="6"/>
  <c r="G86" i="6"/>
  <c r="F87" i="6"/>
  <c r="F86" i="6"/>
  <c r="E87" i="6"/>
  <c r="E86" i="6"/>
  <c r="G85" i="6"/>
  <c r="F89" i="6"/>
  <c r="F85" i="6"/>
  <c r="E85" i="6"/>
  <c r="C89" i="6"/>
  <c r="E89" i="6"/>
  <c r="B89" i="6"/>
  <c r="B77" i="6"/>
  <c r="B76" i="6"/>
  <c r="I73" i="6"/>
  <c r="G73" i="6"/>
  <c r="H73" i="6"/>
  <c r="F73" i="6"/>
  <c r="I71" i="6"/>
  <c r="I72" i="6"/>
  <c r="I70" i="6"/>
  <c r="H71" i="6"/>
  <c r="H72" i="6"/>
  <c r="H70" i="6"/>
  <c r="G71" i="6"/>
  <c r="G72" i="6"/>
  <c r="G70" i="6"/>
  <c r="F71" i="6"/>
  <c r="F72" i="6"/>
  <c r="F70" i="6"/>
  <c r="D63" i="6"/>
  <c r="B63" i="6"/>
  <c r="B62" i="6"/>
  <c r="B61" i="6"/>
  <c r="G59" i="6"/>
  <c r="F59" i="6"/>
  <c r="G57" i="6"/>
  <c r="G58" i="6"/>
  <c r="G56" i="6"/>
  <c r="F57" i="6"/>
  <c r="F58" i="6"/>
  <c r="F56" i="6"/>
  <c r="B12" i="10"/>
  <c r="B10" i="10"/>
  <c r="B9" i="10"/>
  <c r="G7" i="10"/>
  <c r="F7" i="10"/>
  <c r="G5" i="10"/>
  <c r="G6" i="10"/>
  <c r="G4" i="10"/>
  <c r="F5" i="10"/>
  <c r="F6" i="10"/>
  <c r="F4" i="10"/>
  <c r="B70" i="7"/>
  <c r="B69" i="7"/>
  <c r="B68" i="7"/>
  <c r="G65" i="7"/>
  <c r="H65" i="7"/>
  <c r="F65" i="7"/>
  <c r="H63" i="7"/>
  <c r="H64" i="7"/>
  <c r="H62" i="7"/>
  <c r="G63" i="7"/>
  <c r="G64" i="7"/>
  <c r="G62" i="7"/>
  <c r="F63" i="7"/>
  <c r="F64" i="7"/>
  <c r="F62" i="7"/>
  <c r="F34" i="7"/>
  <c r="C41" i="7" s="1"/>
  <c r="C6" i="9"/>
  <c r="B6" i="9"/>
  <c r="E5" i="9"/>
  <c r="E4" i="9"/>
  <c r="E3" i="9"/>
  <c r="A89" i="2"/>
  <c r="A88" i="2"/>
  <c r="A87" i="2"/>
  <c r="B84" i="2"/>
  <c r="C84" i="2"/>
  <c r="H82" i="2"/>
  <c r="H83" i="2"/>
  <c r="H81" i="2"/>
  <c r="G84" i="2"/>
  <c r="G82" i="2"/>
  <c r="G83" i="2"/>
  <c r="G81" i="2"/>
  <c r="F82" i="2"/>
  <c r="F83" i="2"/>
  <c r="F81" i="2"/>
  <c r="F84" i="2" s="1"/>
  <c r="C61" i="2"/>
  <c r="A68" i="2" s="1"/>
  <c r="F61" i="2"/>
  <c r="G61" i="2"/>
  <c r="B61" i="2"/>
  <c r="H59" i="2"/>
  <c r="H60" i="2"/>
  <c r="H58" i="2"/>
  <c r="G59" i="2"/>
  <c r="G60" i="2"/>
  <c r="G58" i="2"/>
  <c r="F59" i="2"/>
  <c r="F60" i="2"/>
  <c r="F58" i="2"/>
  <c r="B37" i="2"/>
  <c r="C37" i="2"/>
  <c r="H36" i="2"/>
  <c r="H35" i="2"/>
  <c r="H34" i="2"/>
  <c r="G36" i="2"/>
  <c r="G35" i="2"/>
  <c r="G34" i="2"/>
  <c r="G37" i="2" s="1"/>
  <c r="F36" i="2"/>
  <c r="F35" i="2"/>
  <c r="F34" i="2"/>
  <c r="F37" i="2" s="1"/>
  <c r="H53" i="5"/>
  <c r="H52" i="5"/>
  <c r="H51" i="5"/>
  <c r="H50" i="5"/>
  <c r="B53" i="5"/>
  <c r="C53" i="5"/>
  <c r="G53" i="5"/>
  <c r="G52" i="5"/>
  <c r="G51" i="5"/>
  <c r="G50" i="5"/>
  <c r="F53" i="5"/>
  <c r="F52" i="5"/>
  <c r="F51" i="5"/>
  <c r="F50" i="5"/>
  <c r="C47" i="7"/>
  <c r="C45" i="7"/>
  <c r="C43" i="7"/>
  <c r="G34" i="7"/>
  <c r="H34" i="7"/>
  <c r="I34" i="7"/>
  <c r="I32" i="7"/>
  <c r="I33" i="7"/>
  <c r="I31" i="7"/>
  <c r="H32" i="7"/>
  <c r="H33" i="7"/>
  <c r="H31" i="7"/>
  <c r="G32" i="7"/>
  <c r="G33" i="7"/>
  <c r="G31" i="7"/>
  <c r="F32" i="7"/>
  <c r="F33" i="7"/>
  <c r="F31" i="7"/>
  <c r="B15" i="7"/>
  <c r="B13" i="7"/>
  <c r="B11" i="7"/>
  <c r="G7" i="7"/>
  <c r="H7" i="7"/>
  <c r="F7" i="7"/>
  <c r="H5" i="7"/>
  <c r="H6" i="7"/>
  <c r="H4" i="7"/>
  <c r="G5" i="7"/>
  <c r="G6" i="7"/>
  <c r="G4" i="7"/>
  <c r="F5" i="7"/>
  <c r="F6" i="7"/>
  <c r="F4" i="7"/>
  <c r="C40" i="4"/>
  <c r="E37" i="4"/>
  <c r="C37" i="4"/>
  <c r="G33" i="4"/>
  <c r="G32" i="4"/>
  <c r="G31" i="4"/>
  <c r="G30" i="4"/>
  <c r="F33" i="4"/>
  <c r="F32" i="4"/>
  <c r="F31" i="4"/>
  <c r="F30" i="4"/>
  <c r="E38" i="5"/>
  <c r="E37" i="5"/>
  <c r="H33" i="5"/>
  <c r="H31" i="5"/>
  <c r="H32" i="5"/>
  <c r="H30" i="5"/>
  <c r="G31" i="5"/>
  <c r="G32" i="5"/>
  <c r="G30" i="5"/>
  <c r="G33" i="5" s="1"/>
  <c r="F33" i="5"/>
  <c r="F31" i="5"/>
  <c r="F32" i="5"/>
  <c r="F30" i="5"/>
  <c r="C49" i="6"/>
  <c r="C48" i="6"/>
  <c r="G45" i="6"/>
  <c r="H45" i="6"/>
  <c r="F45" i="6"/>
  <c r="H43" i="6"/>
  <c r="H44" i="6"/>
  <c r="H42" i="6"/>
  <c r="G44" i="6"/>
  <c r="G43" i="6"/>
  <c r="G42" i="6"/>
  <c r="F44" i="6"/>
  <c r="F43" i="6"/>
  <c r="F42" i="6"/>
  <c r="G36" i="6"/>
  <c r="G35" i="6"/>
  <c r="G32" i="6"/>
  <c r="H32" i="6"/>
  <c r="F32" i="6"/>
  <c r="H31" i="6"/>
  <c r="H30" i="6"/>
  <c r="H29" i="6"/>
  <c r="G31" i="6"/>
  <c r="G30" i="6"/>
  <c r="F31" i="6"/>
  <c r="F30" i="6"/>
  <c r="G29" i="6"/>
  <c r="F29" i="6"/>
  <c r="C15" i="6"/>
  <c r="F13" i="6"/>
  <c r="C10" i="6"/>
  <c r="F5" i="6"/>
  <c r="H5" i="6"/>
  <c r="H4" i="6"/>
  <c r="H3" i="6"/>
  <c r="H2" i="6"/>
  <c r="G5" i="6"/>
  <c r="G4" i="6"/>
  <c r="G3" i="6"/>
  <c r="G2" i="6"/>
  <c r="F4" i="6"/>
  <c r="F3" i="6"/>
  <c r="F2" i="6"/>
  <c r="H10" i="5"/>
  <c r="F17" i="5"/>
  <c r="G14" i="5"/>
  <c r="C12" i="5"/>
  <c r="B8" i="5"/>
  <c r="G5" i="5"/>
  <c r="G3" i="5"/>
  <c r="G4" i="5"/>
  <c r="G2" i="5"/>
  <c r="F3" i="5"/>
  <c r="F5" i="5" s="1"/>
  <c r="F4" i="5"/>
  <c r="F2" i="5"/>
  <c r="G20" i="4"/>
  <c r="H7" i="4"/>
  <c r="H5" i="4"/>
  <c r="H6" i="4"/>
  <c r="H4" i="4"/>
  <c r="G14" i="4"/>
  <c r="G7" i="4"/>
  <c r="F7" i="4"/>
  <c r="G12" i="4" s="1"/>
  <c r="G5" i="4"/>
  <c r="G6" i="4"/>
  <c r="G4" i="4"/>
  <c r="F5" i="4"/>
  <c r="F6" i="4"/>
  <c r="F4" i="4"/>
  <c r="E21" i="3"/>
  <c r="E19" i="3"/>
  <c r="E17" i="3"/>
  <c r="E14" i="3"/>
  <c r="E11" i="3"/>
  <c r="G6" i="3"/>
  <c r="G5" i="3"/>
  <c r="G4" i="3"/>
  <c r="G3" i="3"/>
  <c r="F6" i="3"/>
  <c r="E6" i="3"/>
  <c r="F5" i="3"/>
  <c r="F4" i="3"/>
  <c r="F3" i="3"/>
  <c r="E5" i="3"/>
  <c r="E4" i="3"/>
  <c r="E3" i="3"/>
  <c r="G28" i="2"/>
  <c r="C6" i="2"/>
  <c r="B6" i="2"/>
  <c r="E4" i="2"/>
  <c r="G4" i="2" s="1"/>
  <c r="E5" i="2"/>
  <c r="H5" i="2" s="1"/>
  <c r="E3" i="2"/>
  <c r="H3" i="2" s="1"/>
  <c r="G8" i="1"/>
  <c r="G7" i="1"/>
  <c r="G6" i="1"/>
  <c r="G9" i="1" s="1"/>
  <c r="F8" i="1"/>
  <c r="F7" i="1"/>
  <c r="F6" i="1"/>
  <c r="F9" i="1" s="1"/>
  <c r="G21" i="1" s="1"/>
  <c r="H5" i="9" l="1"/>
  <c r="G5" i="9"/>
  <c r="F5" i="9"/>
  <c r="H4" i="9"/>
  <c r="G4" i="9"/>
  <c r="F4" i="9"/>
  <c r="H3" i="9"/>
  <c r="G3" i="9"/>
  <c r="G6" i="9" s="1"/>
  <c r="F3" i="9"/>
  <c r="F6" i="9" s="1"/>
  <c r="A70" i="2"/>
  <c r="A64" i="2"/>
  <c r="A46" i="2"/>
  <c r="A44" i="2"/>
  <c r="H4" i="2"/>
  <c r="G15" i="2" s="1"/>
  <c r="F5" i="2"/>
  <c r="G3" i="2"/>
  <c r="G5" i="2"/>
  <c r="F3" i="2"/>
  <c r="F4" i="2"/>
  <c r="I27" i="1"/>
  <c r="G23" i="1"/>
  <c r="F6" i="2" l="1"/>
  <c r="G6" i="2"/>
  <c r="G22" i="2" s="1"/>
  <c r="I28" i="1"/>
  <c r="G25" i="1"/>
  <c r="E12" i="2" l="1"/>
  <c r="G19" i="2"/>
  <c r="G30" i="1"/>
  <c r="I25" i="1"/>
</calcChain>
</file>

<file path=xl/sharedStrings.xml><?xml version="1.0" encoding="utf-8"?>
<sst xmlns="http://schemas.openxmlformats.org/spreadsheetml/2006/main" count="624" uniqueCount="267">
  <si>
    <t>Beruházás </t>
  </si>
  <si>
    <t>1 főre jutó beruházás </t>
  </si>
  <si>
    <t>helye</t>
  </si>
  <si>
    <t>értéke (mFt/fő)</t>
  </si>
  <si>
    <t>értéke (%)</t>
  </si>
  <si>
    <t>Központ</t>
  </si>
  <si>
    <t>A telep</t>
  </si>
  <si>
    <t>B telep</t>
  </si>
  <si>
    <t>Összesen</t>
  </si>
  <si>
    <t>…</t>
  </si>
  <si>
    <t>2020-ban az egy főre jutó átlagos beruházás a KFT.-nél  </t>
  </si>
  <si>
    <t>  mFt volt.</t>
  </si>
  <si>
    <t>2021-ben az egy főre jutó átlagos beruházás a KFT.-nél </t>
  </si>
  <si>
    <t> mFt volt.</t>
  </si>
  <si>
    <t>Az egy főre jutó átlagos beruházás </t>
  </si>
  <si>
    <t> %-kal csökkent.</t>
  </si>
  <si>
    <t>Az átlagos beruházás a beruházási helyeken átlagosan </t>
  </si>
  <si>
    <t> %-ra csökkent.</t>
  </si>
  <si>
    <t>A létszámarányok megváltozása miatt az egy főre jutó átlagos beruházás </t>
  </si>
  <si>
    <t> %-kal nőtt.</t>
  </si>
  <si>
    <t>V0</t>
  </si>
  <si>
    <t>V1</t>
  </si>
  <si>
    <t>A0</t>
  </si>
  <si>
    <t>A1</t>
  </si>
  <si>
    <t>B0</t>
  </si>
  <si>
    <t>B1</t>
  </si>
  <si>
    <t>V=A/B</t>
  </si>
  <si>
    <t>B=A/V</t>
  </si>
  <si>
    <t>V0 Átl= A0/B0</t>
  </si>
  <si>
    <t>V1 Átl=A1/B1</t>
  </si>
  <si>
    <t>I=V1/V0</t>
  </si>
  <si>
    <t>100-72,3=</t>
  </si>
  <si>
    <t>I'=V1/Vst</t>
  </si>
  <si>
    <t>Vst=</t>
  </si>
  <si>
    <t>Vst=(B1*V0)/B1</t>
  </si>
  <si>
    <t>I'=</t>
  </si>
  <si>
    <t>I"= I/I'</t>
  </si>
  <si>
    <t>Termék</t>
  </si>
  <si>
    <t> Megnevezés</t>
  </si>
  <si>
    <t>Árbevétel (millió Ft)</t>
  </si>
  <si>
    <t>májusban folyóáron</t>
  </si>
  <si>
    <t>júliusban folyóáron</t>
  </si>
  <si>
    <t>Volumenindex</t>
  </si>
  <si>
    <t>(%)</t>
  </si>
  <si>
    <t>Sör</t>
  </si>
  <si>
    <t>Üdítőital</t>
  </si>
  <si>
    <t>Energiaital</t>
  </si>
  <si>
    <t>iq</t>
  </si>
  <si>
    <t>q1p0</t>
  </si>
  <si>
    <t>q0p1</t>
  </si>
  <si>
    <t>ip</t>
  </si>
  <si>
    <t>össz:</t>
  </si>
  <si>
    <t>iq(%)</t>
  </si>
  <si>
    <t>A büfé teljes árbevétele júliusban </t>
  </si>
  <si>
    <t> millió forint volt májusi árakon számolva.</t>
  </si>
  <si>
    <r>
      <t>Ez pontosan a</t>
    </r>
    <r>
      <rPr>
        <sz val="12"/>
        <color theme="1"/>
        <rFont val="Arial"/>
        <family val="2"/>
        <charset val="238"/>
      </rPr>
      <t xml:space="preserve"> q1 p0</t>
    </r>
    <r>
      <rPr>
        <sz val="12"/>
        <color theme="1"/>
        <rFont val="Aptos Narrow"/>
        <family val="2"/>
        <charset val="238"/>
        <scheme val="minor"/>
      </rPr>
      <t xml:space="preserve"> fiktív forgalom, amit az F oszlop alján összegeztünk.</t>
    </r>
  </si>
  <si>
    <t>A büfé árbevétele üdítőital értékesítésből 
annak árváltozása következtében  százalékkal nőtt.</t>
  </si>
  <si>
    <t>A H4 cella mutatja az üdítő árindexét (1,1668...). Ebből levonunk 1-et, és megszorozzuk 100-zal, hogy megkapjuk a %-os növekedést (16,68).</t>
  </si>
  <si>
    <t>Júliusra a büfé árbevétele </t>
  </si>
  <si>
    <t> millió forinttal növekedett az árváltozás következtében,</t>
  </si>
  <si>
    <t>Valós júliusi forgalom q1 p1 MÍNUSZ a májusi áras júliusi forgalom q1 p0</t>
  </si>
  <si>
    <t>tárgyidőszaki súlyozással számolva.
Július havi árakon számolva a büfé árbevétele 
Válasz
 millió forinttal növekedett júliusban az értékesítési volumen változása következtében</t>
  </si>
  <si>
    <t>Valós júliusi forgalom q1 p1) MÍNUSZ a júliusi áras májusi forgalom q0 p1</t>
  </si>
  <si>
    <t>A büfé árbevétele energiaital értékesítésből </t>
  </si>
  <si>
    <t> ezer forinttal (egész szám) csökkent júliusban májushoz képest.</t>
  </si>
  <si>
    <t>A májusi bevételből kivonjuk a júliusit (hogy pozitív számot kapjunk a "csökkent" szóhoz), és szorzunk 1000-rel az ezer forintos mértékegység miatt.</t>
  </si>
  <si>
    <t>Eladási forgalom az </t>
  </si>
  <si>
    <t>Árváltozás,%</t>
  </si>
  <si>
    <t>Volumenváltozás,%</t>
  </si>
  <si>
    <t>I. negyedévben, millió Ft</t>
  </si>
  <si>
    <t>I. negyedévről</t>
  </si>
  <si>
    <t> a II. negyedévre</t>
  </si>
  <si>
    <t>Tortaforma</t>
  </si>
  <si>
    <t>Ecset</t>
  </si>
  <si>
    <t>Habverő</t>
  </si>
  <si>
    <t>A második negyedévi eladási forgalom</t>
  </si>
  <si>
    <t>MASODIK EV</t>
  </si>
  <si>
    <t>A forgalom az elsőről a második
 negyedévre millió forinttal nőtt</t>
  </si>
  <si>
    <t xml:space="preserve">K p0 </t>
  </si>
  <si>
    <t>A II. negyedévben az ecset értékesítéséből 
származó forgalom</t>
  </si>
  <si>
    <t>Bűneset</t>
  </si>
  <si>
    <t>Összes anyagi kár </t>
  </si>
  <si>
    <t>Egy bűnesetre jutó átlagos</t>
  </si>
  <si>
    <t>fajtája</t>
  </si>
  <si>
    <t>megoszlása (%)</t>
  </si>
  <si>
    <t>anyagi kár értéke (eFt)</t>
  </si>
  <si>
    <t>2021.</t>
  </si>
  <si>
    <t>2020.</t>
  </si>
  <si>
    <t>Betöréses rablás</t>
  </si>
  <si>
    <t>Fegyveres rablás</t>
  </si>
  <si>
    <t>Erőszakos bűneset</t>
  </si>
  <si>
    <t>2020-ban az egy bűnesetre jutó anyagi kár értéke átlagosan</t>
  </si>
  <si>
    <t>2021-ben az egy bűnesetre jutó anyagi kár értéke átlagosan</t>
  </si>
  <si>
    <t>Az egy bűnesetre jutó anyagi kár értéke  %-kal csökkent.</t>
  </si>
  <si>
    <t>r</t>
  </si>
  <si>
    <t>A bűnesetelkövetések szerkezetében bekövetkezett változás
 miatt az egy bűnesetre jutó átlagos anyagi kár %-ra csökkent.</t>
  </si>
  <si>
    <t>Az egyes bűnesetfajtákra jutó átlagos
 anyagi károk átlagosan %-kal nőttek</t>
  </si>
  <si>
    <t>sztenderd</t>
  </si>
  <si>
    <t>nevezo</t>
  </si>
  <si>
    <t>Értékesítési forgalom, ezer Ft (I. negyedév)</t>
  </si>
  <si>
    <t>Értékesítési forgalom, ezer Ft (II. negyedév)</t>
  </si>
  <si>
    <t>Árváltozás, % (I.-ről a II. negyedévre)</t>
  </si>
  <si>
    <t>Kifli</t>
  </si>
  <si>
    <t>Zsemle</t>
  </si>
  <si>
    <t>Kakaós csiga</t>
  </si>
  <si>
    <t>A kifli fiktív forgalma I. negyedévi mennyiség és II. negyedévi ár alapján</t>
  </si>
  <si>
    <t>K0p</t>
  </si>
  <si>
    <t>A tárgyidőszaki mennyiségek figyelembevételével az árváltozá</t>
  </si>
  <si>
    <t>a forgalmat az I.-ről a II. negyedévre.</t>
  </si>
  <si>
    <t>Az értékesítési forgalom az I.-ről a II. negyedévre</t>
  </si>
  <si>
    <t>Eladási forgalom az I. negyedévben, millió Ft</t>
  </si>
  <si>
    <t>Árváltozás, % (I. negyedévről a II. negyedévre)</t>
  </si>
  <si>
    <t>Volumenváltozás, % (I. negyedévről a II. negyedévre)</t>
  </si>
  <si>
    <t>Focilabda</t>
  </si>
  <si>
    <t>Teniszütő</t>
  </si>
  <si>
    <t>Futócipő</t>
  </si>
  <si>
    <t>msaodik negyedev</t>
  </si>
  <si>
    <t>A forgalom az elsőről a második negyedévre</t>
  </si>
  <si>
    <t>A II. negyedévben a teniszütő értékesítéséből származó forgalom</t>
  </si>
  <si>
    <t>K0q</t>
  </si>
  <si>
    <t>Egy szilikonos konyhai termékeket forgalmazó cég három termékének adatai:</t>
  </si>
  <si>
    <t>masodik negyedev</t>
  </si>
  <si>
    <t>forgalom</t>
  </si>
  <si>
    <t>k0p</t>
  </si>
  <si>
    <t>Forgalom a II.</t>
  </si>
  <si>
    <t>félévben, millió Ft</t>
  </si>
  <si>
    <t>Árváltozás</t>
  </si>
  <si>
    <t>I. félévről a II. félévre, % </t>
  </si>
  <si>
    <t>Volumenváltozás</t>
  </si>
  <si>
    <t>I. félévről a II. félévre, %</t>
  </si>
  <si>
    <t>Kapa</t>
  </si>
  <si>
    <t>Ásó</t>
  </si>
  <si>
    <t>Gereblye</t>
  </si>
  <si>
    <t>1felev</t>
  </si>
  <si>
    <t>atlag 2020</t>
  </si>
  <si>
    <t xml:space="preserve">atalg2021 </t>
  </si>
  <si>
    <t>Értékesítési forgalom</t>
  </si>
  <si>
    <t>(ezer Ft)  2016-ban</t>
  </si>
  <si>
    <t>(ezer Ft)  2017-ben</t>
  </si>
  <si>
    <t>2016-ról 2017-re, %</t>
  </si>
  <si>
    <t>Lángos</t>
  </si>
  <si>
    <t>Palacsinta</t>
  </si>
  <si>
    <t>Sült kolbász</t>
  </si>
  <si>
    <t>Képzettség</t>
  </si>
  <si>
    <t>Bázis</t>
  </si>
  <si>
    <t>időszak</t>
  </si>
  <si>
    <t>Tárgy</t>
  </si>
  <si>
    <t>Létszám,</t>
  </si>
  <si>
    <t>Fő</t>
  </si>
  <si>
    <t>Lebonyolított</t>
  </si>
  <si>
    <t>tranzakció, M FT</t>
  </si>
  <si>
    <t>Felsőfokú végzettség</t>
  </si>
  <si>
    <t>Érettségi+OKJ </t>
  </si>
  <si>
    <t>Csak érettségi</t>
  </si>
  <si>
    <t>Zala</t>
  </si>
  <si>
    <t>Pest</t>
  </si>
  <si>
    <t>Tűzijáték</t>
  </si>
  <si>
    <t>Átlagár (E Ft)</t>
  </si>
  <si>
    <t>Forgalom (db)</t>
  </si>
  <si>
    <t>Kis Bumm</t>
  </si>
  <si>
    <t>Nagy Bumm</t>
  </si>
  <si>
    <t>Óriás Bumm</t>
  </si>
  <si>
    <t>x0</t>
  </si>
  <si>
    <t>x1</t>
  </si>
  <si>
    <t>x0 f1</t>
  </si>
  <si>
    <t>f0</t>
  </si>
  <si>
    <t>f1</t>
  </si>
  <si>
    <t>v0</t>
  </si>
  <si>
    <t>v1</t>
  </si>
  <si>
    <t>I index</t>
  </si>
  <si>
    <t> I' index</t>
  </si>
  <si>
    <t>I'' index</t>
  </si>
  <si>
    <t>p0</t>
  </si>
  <si>
    <t>q0</t>
  </si>
  <si>
    <t>p1</t>
  </si>
  <si>
    <t>q1</t>
  </si>
  <si>
    <t>p0q0</t>
  </si>
  <si>
    <t>p1q1</t>
  </si>
  <si>
    <t>p0q1</t>
  </si>
  <si>
    <t>p1q0</t>
  </si>
  <si>
    <t>ZALA atlagár</t>
  </si>
  <si>
    <t>PEST atlagar</t>
  </si>
  <si>
    <t>fiktiv pest</t>
  </si>
  <si>
    <t>fiktiv zala</t>
  </si>
  <si>
    <t>valos zala</t>
  </si>
  <si>
    <t>valos pest</t>
  </si>
  <si>
    <t>fiktiv zala atlag</t>
  </si>
  <si>
    <t>A büfé teljes árbevétele júliusban</t>
  </si>
  <si>
    <t>A büfé árbevétele üdítőital értékesítésből annak árváltozása következtébe</t>
  </si>
  <si>
    <t>Megnevezés</t>
  </si>
  <si>
    <t>Árbevétel (millió Ft) májusban folyóáron</t>
  </si>
  <si>
    <t>Árbevétel (millió Ft) júliusban folyóáron</t>
  </si>
  <si>
    <t>Volumenindex (%)</t>
  </si>
  <si>
    <t>Hamburger</t>
  </si>
  <si>
    <t>Sültkrumpli</t>
  </si>
  <si>
    <t>Kóla</t>
  </si>
  <si>
    <t>Laptop</t>
  </si>
  <si>
    <t>Monitor</t>
  </si>
  <si>
    <t>Egér</t>
  </si>
  <si>
    <t>Árbevétel (millió Ft) I. negyedévben folyóáron</t>
  </si>
  <si>
    <t>Árbevétel (millió Ft) II. negyedévben folyóáron</t>
  </si>
  <si>
    <t>Árindex (%)</t>
  </si>
  <si>
    <t>Póló</t>
  </si>
  <si>
    <t>Farmer</t>
  </si>
  <si>
    <t>Pulóver</t>
  </si>
  <si>
    <t>I</t>
  </si>
  <si>
    <t>I Index</t>
  </si>
  <si>
    <t>I'</t>
  </si>
  <si>
    <t>I"</t>
  </si>
  <si>
    <t>atlag 2021</t>
  </si>
  <si>
    <t>100-72</t>
  </si>
  <si>
    <t>------</t>
  </si>
  <si>
    <t>zala real</t>
  </si>
  <si>
    <t>pest real</t>
  </si>
  <si>
    <t>zala fiktiv</t>
  </si>
  <si>
    <t>pest fiktiv</t>
  </si>
  <si>
    <t>zala atlag</t>
  </si>
  <si>
    <t>pest atlag</t>
  </si>
  <si>
    <t>Nógrád</t>
  </si>
  <si>
    <t>Vas</t>
  </si>
  <si>
    <t>Fenyő</t>
  </si>
  <si>
    <t>Átlagár</t>
  </si>
  <si>
    <t>(E Ft)</t>
  </si>
  <si>
    <t>Forgalom</t>
  </si>
  <si>
    <t>Luc</t>
  </si>
  <si>
    <t>Ezüst</t>
  </si>
  <si>
    <t>Nordmann</t>
  </si>
  <si>
    <t>összesen</t>
  </si>
  <si>
    <t>nograd real</t>
  </si>
  <si>
    <t>vas real</t>
  </si>
  <si>
    <t>nograd fiktiv</t>
  </si>
  <si>
    <t>vas fiktiv</t>
  </si>
  <si>
    <t xml:space="preserve">nograd atlag </t>
  </si>
  <si>
    <t>vas atlag</t>
  </si>
  <si>
    <t xml:space="preserve">I </t>
  </si>
  <si>
    <t>nograd</t>
  </si>
  <si>
    <t xml:space="preserve">vas </t>
  </si>
  <si>
    <t>kulonbbseg</t>
  </si>
  <si>
    <t>Normál péntek</t>
  </si>
  <si>
    <t>árbevétele (Ft)</t>
  </si>
  <si>
    <t>Black Friday</t>
  </si>
  <si>
    <t>Árváltozás (%)</t>
  </si>
  <si>
    <t>(normál péntek = 100%)</t>
  </si>
  <si>
    <t>TV</t>
  </si>
  <si>
    <t>Mosógép</t>
  </si>
  <si>
    <t>Okostelefon</t>
  </si>
  <si>
    <t>Értékesítési </t>
  </si>
  <si>
    <t>forgalom, ezer Ft</t>
  </si>
  <si>
    <t>Árváltozás, %</t>
  </si>
  <si>
    <t>I. negyedév</t>
  </si>
  <si>
    <t>II. negyedév</t>
  </si>
  <si>
    <t>I.-ről a II. negyedévre</t>
  </si>
  <si>
    <t>Perec</t>
  </si>
  <si>
    <t>Pattogatott kukorica</t>
  </si>
  <si>
    <t>Nachos</t>
  </si>
  <si>
    <t>perec forgalom</t>
  </si>
  <si>
    <t>kp0</t>
  </si>
  <si>
    <t>ermék</t>
  </si>
  <si>
    <t>Megye </t>
  </si>
  <si>
    <t>Termésátlag,</t>
  </si>
  <si>
    <t>Betakarított</t>
  </si>
  <si>
    <t>összes termés,</t>
  </si>
  <si>
    <t>kg/ha</t>
  </si>
  <si>
    <t>%</t>
  </si>
  <si>
    <t>Fejér</t>
  </si>
  <si>
    <t>Komárom-Esztergom</t>
  </si>
  <si>
    <t>Veszprém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</si>
</sst>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 x14ac:knownFonts="1">
    <font>
      <sz val="12"/>
      <color theme="1"/>
      <name val="Aptos Narrow"/>
      <family val="2"/>
      <charset val="238"/>
      <scheme val="minor"/>
    </font>
    <font>
      <sz val="14"/>
      <color theme="1"/>
      <name val="Roboto"/>
    </font>
    <font>
      <sz val="16"/>
      <color theme="1"/>
      <name val="Helvetica"/>
      <family val="2"/>
    </font>
    <font>
      <b/>
      <i/>
      <sz val="14"/>
      <color rgb="FFFF0000"/>
      <name val="Aptos Narrow"/>
      <scheme val="minor"/>
    </font>
    <font>
      <sz val="16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8"/>
      <color theme="1"/>
      <name val="Roboto"/>
    </font>
    <font>
      <sz val="10"/>
      <color theme="1"/>
      <name val="Roboto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Roboto"/>
    </font>
    <font>
      <sz val="8"/>
      <color theme="1"/>
      <name val="Roboto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1FFBF"/>
        <bgColor indexed="64"/>
      </patternFill>
    </fill>
    <fill>
      <patternFill patternType="solid">
        <fgColor rgb="FFC6FCFF"/>
        <bgColor indexed="64"/>
      </patternFill>
    </fill>
    <fill>
      <patternFill patternType="solid">
        <fgColor rgb="FF9EA1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2" fontId="0" fillId="2" borderId="1" xfId="0" applyNumberFormat="1" applyFill="1" applyBorder="1"/>
    <xf numFmtId="2" fontId="0" fillId="3" borderId="1" xfId="0" applyNumberFormat="1" applyFill="1" applyBorder="1"/>
    <xf numFmtId="0" fontId="2" fillId="4" borderId="0" xfId="0" applyFont="1" applyFill="1"/>
    <xf numFmtId="0" fontId="0" fillId="4" borderId="0" xfId="0" applyFill="1"/>
    <xf numFmtId="164" fontId="0" fillId="0" borderId="0" xfId="0" applyNumberFormat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9" fontId="0" fillId="0" borderId="0" xfId="0" applyNumberFormat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164" fontId="0" fillId="9" borderId="0" xfId="0" applyNumberFormat="1" applyFill="1"/>
    <xf numFmtId="0" fontId="6" fillId="10" borderId="0" xfId="0" applyFont="1" applyFill="1" applyAlignment="1">
      <alignment vertical="center" wrapText="1"/>
    </xf>
    <xf numFmtId="0" fontId="6" fillId="10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6" fillId="11" borderId="0" xfId="0" applyFont="1" applyFill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6" fillId="10" borderId="0" xfId="0" applyFont="1" applyFill="1" applyAlignment="1">
      <alignment horizontal="right" vertical="center" wrapText="1"/>
    </xf>
    <xf numFmtId="0" fontId="6" fillId="10" borderId="0" xfId="0" applyFont="1" applyFill="1" applyAlignment="1">
      <alignment horizontal="left" vertical="center" wrapText="1"/>
    </xf>
    <xf numFmtId="0" fontId="6" fillId="12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10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center" wrapText="1"/>
    </xf>
    <xf numFmtId="0" fontId="9" fillId="0" borderId="4" xfId="0" applyFont="1" applyBorder="1" applyAlignment="1">
      <alignment horizontal="left" vertical="center" wrapText="1" indent="1"/>
    </xf>
    <xf numFmtId="0" fontId="6" fillId="10" borderId="0" xfId="0" applyFont="1" applyFill="1" applyAlignment="1">
      <alignment vertical="center" wrapText="1"/>
    </xf>
    <xf numFmtId="43" fontId="7" fillId="0" borderId="0" xfId="1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10" borderId="0" xfId="0" applyFon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horizontal="center" vertical="center" wrapText="1"/>
    </xf>
    <xf numFmtId="0" fontId="0" fillId="0" borderId="0" xfId="0" quotePrefix="1"/>
    <xf numFmtId="0" fontId="11" fillId="10" borderId="0" xfId="0" applyFont="1" applyFill="1" applyAlignment="1">
      <alignment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vertical="center" wrapText="1"/>
    </xf>
    <xf numFmtId="3" fontId="11" fillId="10" borderId="5" xfId="0" applyNumberFormat="1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vertical="center" wrapText="1"/>
    </xf>
    <xf numFmtId="0" fontId="11" fillId="10" borderId="7" xfId="0" applyFont="1" applyFill="1" applyBorder="1" applyAlignment="1">
      <alignment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colors>
    <mruColors>
      <color rgb="FF9EA1FF"/>
      <color rgb="FFF1FFBF"/>
      <color rgb="FFC6FCFF"/>
      <color rgb="FFFAFF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1127-84C9-1E44-9D60-D92264D8E26E}">
  <dimension ref="A3:I30"/>
  <sheetViews>
    <sheetView topLeftCell="A14" zoomScale="83" zoomScaleNormal="120" workbookViewId="0">
      <selection activeCell="G30" sqref="G30"/>
    </sheetView>
  </sheetViews>
  <sheetFormatPr defaultColWidth="11.19921875" defaultRowHeight="15.6" x14ac:dyDescent="0.3"/>
  <cols>
    <col min="1" max="1" width="19" customWidth="1"/>
    <col min="2" max="2" width="20.296875" customWidth="1"/>
    <col min="3" max="3" width="24.69921875" customWidth="1"/>
    <col min="4" max="4" width="17.796875" customWidth="1"/>
    <col min="5" max="5" width="19.19921875" customWidth="1"/>
    <col min="6" max="6" width="16.296875" customWidth="1"/>
    <col min="7" max="7" width="19.5" customWidth="1"/>
  </cols>
  <sheetData>
    <row r="3" spans="1:7" ht="18" x14ac:dyDescent="0.35">
      <c r="A3" s="1" t="s">
        <v>0</v>
      </c>
      <c r="B3" s="1" t="s">
        <v>1</v>
      </c>
      <c r="C3" s="1" t="s">
        <v>1</v>
      </c>
      <c r="D3" s="1" t="s">
        <v>0</v>
      </c>
      <c r="E3" s="1" t="s">
        <v>0</v>
      </c>
      <c r="F3" s="2"/>
      <c r="G3" s="2"/>
    </row>
    <row r="4" spans="1:7" ht="18" x14ac:dyDescent="0.35">
      <c r="A4" s="1" t="s">
        <v>2</v>
      </c>
      <c r="B4" s="1" t="s">
        <v>3</v>
      </c>
      <c r="C4" s="1" t="s">
        <v>3</v>
      </c>
      <c r="D4" s="1" t="s">
        <v>4</v>
      </c>
      <c r="E4" s="1" t="s">
        <v>4</v>
      </c>
      <c r="F4" s="2"/>
      <c r="G4" s="2"/>
    </row>
    <row r="5" spans="1:7" ht="21" x14ac:dyDescent="0.4">
      <c r="A5" s="1"/>
      <c r="B5" s="1">
        <v>2020</v>
      </c>
      <c r="C5" s="1">
        <v>2021</v>
      </c>
      <c r="D5" s="1">
        <v>2020</v>
      </c>
      <c r="E5" s="1">
        <v>2021</v>
      </c>
      <c r="F5" s="5">
        <v>2020</v>
      </c>
      <c r="G5" s="5">
        <v>2021</v>
      </c>
    </row>
    <row r="6" spans="1:7" ht="18" x14ac:dyDescent="0.35">
      <c r="A6" s="1" t="s">
        <v>5</v>
      </c>
      <c r="B6" s="1">
        <v>10</v>
      </c>
      <c r="C6" s="1">
        <v>5</v>
      </c>
      <c r="D6" s="1">
        <v>40</v>
      </c>
      <c r="E6" s="1">
        <v>50</v>
      </c>
      <c r="F6" s="7">
        <f t="shared" ref="F6:G8" si="0">D6/B6</f>
        <v>4</v>
      </c>
      <c r="G6" s="7">
        <f t="shared" si="0"/>
        <v>10</v>
      </c>
    </row>
    <row r="7" spans="1:7" ht="18" x14ac:dyDescent="0.35">
      <c r="A7" s="1" t="s">
        <v>6</v>
      </c>
      <c r="B7" s="1">
        <v>10</v>
      </c>
      <c r="C7" s="1">
        <v>8</v>
      </c>
      <c r="D7" s="1">
        <v>20</v>
      </c>
      <c r="E7" s="1">
        <v>25</v>
      </c>
      <c r="F7" s="7">
        <f t="shared" si="0"/>
        <v>2</v>
      </c>
      <c r="G7" s="9">
        <f t="shared" si="0"/>
        <v>3.125</v>
      </c>
    </row>
    <row r="8" spans="1:7" ht="18" x14ac:dyDescent="0.35">
      <c r="A8" s="1" t="s">
        <v>7</v>
      </c>
      <c r="B8" s="1">
        <v>8</v>
      </c>
      <c r="C8" s="1">
        <v>12</v>
      </c>
      <c r="D8" s="1">
        <v>40</v>
      </c>
      <c r="E8" s="1">
        <v>25</v>
      </c>
      <c r="F8" s="7">
        <f t="shared" si="0"/>
        <v>5</v>
      </c>
      <c r="G8" s="9">
        <f t="shared" si="0"/>
        <v>2.0833333333333335</v>
      </c>
    </row>
    <row r="9" spans="1:7" ht="18" x14ac:dyDescent="0.35">
      <c r="A9" s="1" t="s">
        <v>8</v>
      </c>
      <c r="B9" s="1" t="s">
        <v>9</v>
      </c>
      <c r="C9" s="1" t="s">
        <v>9</v>
      </c>
      <c r="D9" s="1">
        <v>100</v>
      </c>
      <c r="E9" s="1">
        <v>100</v>
      </c>
      <c r="F9" s="8">
        <f>SUM(F6:F8)</f>
        <v>11</v>
      </c>
      <c r="G9" s="10">
        <f>SUM(G6:G8)</f>
        <v>15.208333333333334</v>
      </c>
    </row>
    <row r="10" spans="1:7" s="4" customFormat="1" ht="18" x14ac:dyDescent="0.35">
      <c r="A10" s="3"/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</row>
    <row r="13" spans="1:7" x14ac:dyDescent="0.3">
      <c r="A13" t="s">
        <v>26</v>
      </c>
    </row>
    <row r="14" spans="1:7" x14ac:dyDescent="0.3">
      <c r="A14" s="6" t="s">
        <v>27</v>
      </c>
    </row>
    <row r="21" spans="1:9" ht="20.399999999999999" x14ac:dyDescent="0.35">
      <c r="A21" s="11" t="s">
        <v>10</v>
      </c>
      <c r="B21" s="12"/>
      <c r="C21" s="12"/>
      <c r="D21" s="12"/>
      <c r="F21" s="12" t="s">
        <v>28</v>
      </c>
      <c r="G21" s="23">
        <f>D9/F9</f>
        <v>9.0909090909090917</v>
      </c>
    </row>
    <row r="22" spans="1:9" ht="20.399999999999999" x14ac:dyDescent="0.35">
      <c r="A22" s="11" t="s">
        <v>11</v>
      </c>
    </row>
    <row r="23" spans="1:9" ht="20.399999999999999" x14ac:dyDescent="0.35">
      <c r="A23" s="14" t="s">
        <v>12</v>
      </c>
      <c r="B23" s="15"/>
      <c r="C23" s="15"/>
      <c r="D23" s="15"/>
      <c r="F23" s="15" t="s">
        <v>29</v>
      </c>
      <c r="G23" s="23">
        <f>E9/G9</f>
        <v>6.5753424657534243</v>
      </c>
    </row>
    <row r="24" spans="1:9" ht="20.399999999999999" x14ac:dyDescent="0.35">
      <c r="A24" s="14" t="s">
        <v>13</v>
      </c>
    </row>
    <row r="25" spans="1:9" ht="20.399999999999999" x14ac:dyDescent="0.35">
      <c r="A25" s="16" t="s">
        <v>14</v>
      </c>
      <c r="B25" s="17"/>
      <c r="C25" s="17"/>
      <c r="F25" s="17" t="s">
        <v>30</v>
      </c>
      <c r="G25" s="13">
        <f>G23/G21*100</f>
        <v>72.328767123287662</v>
      </c>
      <c r="H25" t="s">
        <v>31</v>
      </c>
      <c r="I25" s="23">
        <f>100-G25</f>
        <v>27.671232876712338</v>
      </c>
    </row>
    <row r="26" spans="1:9" ht="20.399999999999999" x14ac:dyDescent="0.35">
      <c r="A26" s="16" t="s">
        <v>15</v>
      </c>
      <c r="B26" s="17"/>
    </row>
    <row r="27" spans="1:9" ht="20.399999999999999" x14ac:dyDescent="0.35">
      <c r="A27" s="19" t="s">
        <v>16</v>
      </c>
      <c r="B27" s="20"/>
      <c r="C27" s="20"/>
      <c r="D27" s="20"/>
      <c r="F27" s="20" t="s">
        <v>32</v>
      </c>
      <c r="G27" s="20" t="s">
        <v>34</v>
      </c>
      <c r="H27" t="s">
        <v>33</v>
      </c>
      <c r="I27" s="13">
        <f>SUMPRODUCT(G6:G8,B6:B8)/G9</f>
        <v>9.7260273972602729</v>
      </c>
    </row>
    <row r="28" spans="1:9" ht="20.399999999999999" x14ac:dyDescent="0.35">
      <c r="A28" s="19" t="s">
        <v>17</v>
      </c>
      <c r="H28" t="s">
        <v>35</v>
      </c>
      <c r="I28" s="23">
        <f>G23/I27*100</f>
        <v>67.605633802816897</v>
      </c>
    </row>
    <row r="29" spans="1:9" ht="20.399999999999999" x14ac:dyDescent="0.35">
      <c r="A29" s="21" t="s">
        <v>18</v>
      </c>
      <c r="B29" s="22"/>
      <c r="C29" s="22"/>
      <c r="D29" s="22"/>
      <c r="E29" s="22"/>
    </row>
    <row r="30" spans="1:9" ht="20.399999999999999" x14ac:dyDescent="0.35">
      <c r="A30" s="21" t="s">
        <v>19</v>
      </c>
      <c r="F30" s="22" t="s">
        <v>36</v>
      </c>
      <c r="G30" s="23">
        <f>G25/I28*100</f>
        <v>106.986301369863</v>
      </c>
      <c r="H30" s="18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50E8-B3D7-44C3-B500-D8ECEC48990B}">
  <dimension ref="A1:K89"/>
  <sheetViews>
    <sheetView workbookViewId="0">
      <selection activeCell="H30" sqref="A1:H30"/>
    </sheetView>
  </sheetViews>
  <sheetFormatPr defaultRowHeight="15.6" x14ac:dyDescent="0.3"/>
  <cols>
    <col min="6" max="6" width="11.8984375" customWidth="1"/>
  </cols>
  <sheetData>
    <row r="1" spans="1:11" ht="20.399999999999999" x14ac:dyDescent="0.3">
      <c r="A1" s="41" t="s">
        <v>38</v>
      </c>
      <c r="B1" s="25" t="s">
        <v>39</v>
      </c>
      <c r="C1" s="25" t="s">
        <v>39</v>
      </c>
      <c r="D1" s="25" t="s">
        <v>42</v>
      </c>
      <c r="E1" s="28" t="s">
        <v>47</v>
      </c>
      <c r="F1" s="28" t="s">
        <v>48</v>
      </c>
      <c r="G1" s="28" t="s">
        <v>49</v>
      </c>
      <c r="H1" s="28" t="s">
        <v>50</v>
      </c>
    </row>
    <row r="2" spans="1:11" ht="20.399999999999999" x14ac:dyDescent="0.3">
      <c r="A2" s="41"/>
      <c r="B2" s="25" t="s">
        <v>40</v>
      </c>
      <c r="C2" s="25" t="s">
        <v>41</v>
      </c>
      <c r="D2" s="25" t="s">
        <v>43</v>
      </c>
    </row>
    <row r="3" spans="1:11" x14ac:dyDescent="0.3">
      <c r="A3" s="24" t="s">
        <v>44</v>
      </c>
      <c r="B3" s="25">
        <v>15.6</v>
      </c>
      <c r="C3" s="25">
        <v>21.95</v>
      </c>
      <c r="D3" s="25">
        <v>115.07</v>
      </c>
      <c r="E3" s="30">
        <f>D3/100</f>
        <v>1.1506999999999998</v>
      </c>
      <c r="F3" s="30">
        <f>B3*E3</f>
        <v>17.950919999999996</v>
      </c>
      <c r="G3" s="30">
        <f>C3/E3</f>
        <v>19.075345441904929</v>
      </c>
      <c r="H3" s="30">
        <f>(C3/B3)/E3</f>
        <v>1.2227785539682647</v>
      </c>
    </row>
    <row r="4" spans="1:11" x14ac:dyDescent="0.3">
      <c r="A4" s="24" t="s">
        <v>45</v>
      </c>
      <c r="B4" s="25">
        <v>25.33</v>
      </c>
      <c r="C4" s="25">
        <v>24.93</v>
      </c>
      <c r="D4" s="25">
        <v>84.35</v>
      </c>
      <c r="E4" s="30">
        <f t="shared" ref="E4:E5" si="0">D4/100</f>
        <v>0.84349999999999992</v>
      </c>
      <c r="F4" s="30">
        <f t="shared" ref="F4:F5" si="1">B4*E4</f>
        <v>21.365854999999996</v>
      </c>
      <c r="G4" s="30">
        <f t="shared" ref="G4:G5" si="2">C4/E4</f>
        <v>29.555423829282752</v>
      </c>
      <c r="H4" s="30">
        <f t="shared" ref="H4:H5" si="3">(C4/B4)/E4</f>
        <v>1.1668149952342184</v>
      </c>
    </row>
    <row r="5" spans="1:11" x14ac:dyDescent="0.3">
      <c r="A5" s="24" t="s">
        <v>46</v>
      </c>
      <c r="B5" s="25">
        <v>17.920000000000002</v>
      </c>
      <c r="C5" s="25">
        <v>17.22</v>
      </c>
      <c r="D5" s="25">
        <v>115.35</v>
      </c>
      <c r="E5" s="30">
        <f t="shared" si="0"/>
        <v>1.1535</v>
      </c>
      <c r="F5" s="30">
        <f t="shared" si="1"/>
        <v>20.670720000000003</v>
      </c>
      <c r="G5" s="30">
        <f t="shared" si="2"/>
        <v>14.928478543563068</v>
      </c>
      <c r="H5" s="30">
        <f t="shared" si="3"/>
        <v>0.83306241872561759</v>
      </c>
    </row>
    <row r="6" spans="1:11" x14ac:dyDescent="0.3">
      <c r="B6" s="30">
        <f>SUM(B3:B5)</f>
        <v>58.85</v>
      </c>
      <c r="C6" s="30">
        <f>SUM(C3:C5)</f>
        <v>64.099999999999994</v>
      </c>
      <c r="E6" s="30"/>
      <c r="F6" s="30">
        <f>SUM(F3:F5)</f>
        <v>59.987494999999996</v>
      </c>
      <c r="G6" s="30">
        <f>SUM(G3:G5)</f>
        <v>63.559247814750748</v>
      </c>
      <c r="H6" s="30"/>
    </row>
    <row r="7" spans="1:11" x14ac:dyDescent="0.3">
      <c r="A7" s="24" t="s">
        <v>51</v>
      </c>
      <c r="B7" t="s">
        <v>20</v>
      </c>
      <c r="C7" t="s">
        <v>21</v>
      </c>
      <c r="D7" t="s">
        <v>52</v>
      </c>
    </row>
    <row r="12" spans="1:11" x14ac:dyDescent="0.3">
      <c r="A12" s="26" t="s">
        <v>53</v>
      </c>
      <c r="E12" s="29">
        <f>F6</f>
        <v>59.987494999999996</v>
      </c>
      <c r="I12" t="s">
        <v>55</v>
      </c>
    </row>
    <row r="13" spans="1:11" x14ac:dyDescent="0.3">
      <c r="A13" s="26" t="s">
        <v>54</v>
      </c>
    </row>
    <row r="15" spans="1:11" ht="30.6" customHeight="1" x14ac:dyDescent="0.3">
      <c r="A15" s="42" t="s">
        <v>56</v>
      </c>
      <c r="B15" s="42"/>
      <c r="C15" s="42"/>
      <c r="D15" s="42"/>
      <c r="E15" s="42"/>
      <c r="F15" s="42"/>
      <c r="G15" s="29">
        <f>(H4-1)*100</f>
        <v>16.681499523421838</v>
      </c>
      <c r="K15" t="s">
        <v>57</v>
      </c>
    </row>
    <row r="16" spans="1:11" x14ac:dyDescent="0.3">
      <c r="A16" s="26"/>
    </row>
    <row r="18" spans="1:11" x14ac:dyDescent="0.3">
      <c r="A18" s="26" t="s">
        <v>58</v>
      </c>
    </row>
    <row r="19" spans="1:11" x14ac:dyDescent="0.3">
      <c r="A19" s="26" t="s">
        <v>59</v>
      </c>
      <c r="G19" s="29">
        <f>C6-F6</f>
        <v>4.1125049999999987</v>
      </c>
      <c r="K19" t="s">
        <v>60</v>
      </c>
    </row>
    <row r="22" spans="1:11" ht="63.6" customHeight="1" x14ac:dyDescent="0.3">
      <c r="A22" s="43" t="s">
        <v>61</v>
      </c>
      <c r="B22" s="43"/>
      <c r="C22" s="43"/>
      <c r="D22" s="43"/>
      <c r="G22" s="29">
        <f>C6-G6</f>
        <v>0.54075218524924651</v>
      </c>
      <c r="K22" t="s">
        <v>62</v>
      </c>
    </row>
    <row r="23" spans="1:11" ht="15.6" customHeight="1" x14ac:dyDescent="0.3">
      <c r="A23" s="27"/>
      <c r="B23" s="27"/>
    </row>
    <row r="24" spans="1:11" ht="66" hidden="1" customHeight="1" x14ac:dyDescent="0.3">
      <c r="A24" s="27"/>
      <c r="B24" s="27"/>
    </row>
    <row r="27" spans="1:11" x14ac:dyDescent="0.3">
      <c r="A27" s="26" t="s">
        <v>63</v>
      </c>
    </row>
    <row r="28" spans="1:11" x14ac:dyDescent="0.3">
      <c r="A28" s="26" t="s">
        <v>64</v>
      </c>
      <c r="G28" s="29">
        <f>(B5-C5)*1000</f>
        <v>700.00000000000284</v>
      </c>
      <c r="K28" t="s">
        <v>65</v>
      </c>
    </row>
    <row r="32" spans="1:11" ht="16.2" thickBot="1" x14ac:dyDescent="0.35"/>
    <row r="33" spans="1:8" ht="125.4" thickBot="1" x14ac:dyDescent="0.35">
      <c r="A33" s="34" t="s">
        <v>189</v>
      </c>
      <c r="B33" s="34" t="s">
        <v>190</v>
      </c>
      <c r="C33" s="34" t="s">
        <v>191</v>
      </c>
      <c r="D33" s="34" t="s">
        <v>192</v>
      </c>
      <c r="F33" s="40" t="s">
        <v>48</v>
      </c>
      <c r="G33" s="40" t="s">
        <v>49</v>
      </c>
      <c r="H33" s="40" t="s">
        <v>50</v>
      </c>
    </row>
    <row r="34" spans="1:8" ht="30.6" thickBot="1" x14ac:dyDescent="0.35">
      <c r="A34" s="35" t="s">
        <v>193</v>
      </c>
      <c r="B34" s="35">
        <v>30</v>
      </c>
      <c r="C34" s="35">
        <v>35</v>
      </c>
      <c r="D34" s="35">
        <v>110</v>
      </c>
      <c r="F34">
        <f>B34*1.1</f>
        <v>33</v>
      </c>
      <c r="G34">
        <f>C34/1.1</f>
        <v>31.818181818181817</v>
      </c>
      <c r="H34">
        <f>(C34/B34)/1.1</f>
        <v>1.0606060606060606</v>
      </c>
    </row>
    <row r="35" spans="1:8" ht="30.6" thickBot="1" x14ac:dyDescent="0.35">
      <c r="A35" s="35" t="s">
        <v>194</v>
      </c>
      <c r="B35" s="35">
        <v>15</v>
      </c>
      <c r="C35" s="35">
        <v>20</v>
      </c>
      <c r="D35" s="35">
        <v>120</v>
      </c>
      <c r="F35">
        <f>B35*1.2</f>
        <v>18</v>
      </c>
      <c r="G35">
        <f>C35/1.2</f>
        <v>16.666666666666668</v>
      </c>
      <c r="H35">
        <f>(C35/B35)/1.2</f>
        <v>1.1111111111111112</v>
      </c>
    </row>
    <row r="36" spans="1:8" ht="16.2" thickBot="1" x14ac:dyDescent="0.35">
      <c r="A36" s="35" t="s">
        <v>195</v>
      </c>
      <c r="B36" s="35">
        <v>22.5</v>
      </c>
      <c r="C36" s="35">
        <v>22</v>
      </c>
      <c r="D36" s="35">
        <v>95</v>
      </c>
      <c r="F36">
        <f>B36*0.95</f>
        <v>21.375</v>
      </c>
      <c r="G36">
        <f>C36/0.95</f>
        <v>23.157894736842106</v>
      </c>
      <c r="H36">
        <f>(C36/B36)/0.95</f>
        <v>1.0292397660818713</v>
      </c>
    </row>
    <row r="37" spans="1:8" x14ac:dyDescent="0.3">
      <c r="B37">
        <f t="shared" ref="B37:C37" si="4">SUM(B34:B36)</f>
        <v>67.5</v>
      </c>
      <c r="C37">
        <f t="shared" si="4"/>
        <v>77</v>
      </c>
      <c r="F37">
        <f>SUM(F34:F36)</f>
        <v>72.375</v>
      </c>
      <c r="G37">
        <f>SUM(G34:G36)</f>
        <v>71.642743221690594</v>
      </c>
    </row>
    <row r="40" spans="1:8" x14ac:dyDescent="0.3">
      <c r="A40">
        <v>72.375</v>
      </c>
    </row>
    <row r="42" spans="1:8" x14ac:dyDescent="0.3">
      <c r="A42">
        <v>1.1100000000000001</v>
      </c>
    </row>
    <row r="44" spans="1:8" x14ac:dyDescent="0.3">
      <c r="A44">
        <f>C37-F37</f>
        <v>4.625</v>
      </c>
    </row>
    <row r="46" spans="1:8" x14ac:dyDescent="0.3">
      <c r="A46">
        <f>C37-G37</f>
        <v>5.3572567783094058</v>
      </c>
    </row>
    <row r="48" spans="1:8" x14ac:dyDescent="0.3">
      <c r="A48">
        <v>500</v>
      </c>
    </row>
    <row r="56" spans="1:8" ht="16.2" thickBot="1" x14ac:dyDescent="0.35"/>
    <row r="57" spans="1:8" ht="125.4" thickBot="1" x14ac:dyDescent="0.35">
      <c r="A57" s="34" t="s">
        <v>189</v>
      </c>
      <c r="B57" s="34" t="s">
        <v>190</v>
      </c>
      <c r="C57" s="34" t="s">
        <v>191</v>
      </c>
      <c r="D57" s="34" t="s">
        <v>192</v>
      </c>
      <c r="E57" s="36" t="s">
        <v>47</v>
      </c>
      <c r="F57" s="36" t="s">
        <v>48</v>
      </c>
      <c r="G57" s="36" t="s">
        <v>49</v>
      </c>
      <c r="H57" s="36" t="s">
        <v>50</v>
      </c>
    </row>
    <row r="58" spans="1:8" ht="16.2" thickBot="1" x14ac:dyDescent="0.35">
      <c r="A58" s="35" t="s">
        <v>196</v>
      </c>
      <c r="B58" s="35">
        <v>50</v>
      </c>
      <c r="C58" s="35">
        <v>60</v>
      </c>
      <c r="D58" s="35">
        <v>105</v>
      </c>
      <c r="E58" s="37">
        <v>1.05</v>
      </c>
      <c r="F58">
        <f>B58*E58</f>
        <v>52.5</v>
      </c>
      <c r="G58">
        <f>C58/E58</f>
        <v>57.142857142857139</v>
      </c>
      <c r="H58">
        <f>(C58/B58)/100</f>
        <v>1.2E-2</v>
      </c>
    </row>
    <row r="59" spans="1:8" ht="31.2" customHeight="1" thickBot="1" x14ac:dyDescent="0.35">
      <c r="A59" s="35" t="s">
        <v>197</v>
      </c>
      <c r="B59" s="35">
        <v>20</v>
      </c>
      <c r="C59" s="35">
        <v>25</v>
      </c>
      <c r="D59" s="35">
        <v>110</v>
      </c>
      <c r="E59" s="37">
        <v>1.1000000000000001</v>
      </c>
      <c r="F59">
        <f t="shared" ref="F59:F60" si="5">B59*E59</f>
        <v>22</v>
      </c>
      <c r="G59">
        <f t="shared" ref="G59:G60" si="6">C59/E59</f>
        <v>22.727272727272727</v>
      </c>
      <c r="H59">
        <f t="shared" ref="H59:H60" si="7">(C59/B59)/100</f>
        <v>1.2500000000000001E-2</v>
      </c>
    </row>
    <row r="60" spans="1:8" ht="16.2" thickBot="1" x14ac:dyDescent="0.35">
      <c r="A60" s="35" t="s">
        <v>198</v>
      </c>
      <c r="B60" s="35">
        <v>15</v>
      </c>
      <c r="C60" s="35">
        <v>12</v>
      </c>
      <c r="D60" s="35">
        <v>85</v>
      </c>
      <c r="E60" s="37">
        <v>0.85</v>
      </c>
      <c r="F60">
        <f t="shared" si="5"/>
        <v>12.75</v>
      </c>
      <c r="G60">
        <f t="shared" si="6"/>
        <v>14.117647058823529</v>
      </c>
      <c r="H60">
        <f t="shared" si="7"/>
        <v>8.0000000000000002E-3</v>
      </c>
    </row>
    <row r="61" spans="1:8" x14ac:dyDescent="0.3">
      <c r="B61">
        <f>SUM(B58:B60)</f>
        <v>85</v>
      </c>
      <c r="C61">
        <f t="shared" ref="C61:G61" si="8">SUM(C58:C60)</f>
        <v>97</v>
      </c>
      <c r="F61">
        <f t="shared" si="8"/>
        <v>87.25</v>
      </c>
      <c r="G61">
        <f t="shared" si="8"/>
        <v>93.987776928953394</v>
      </c>
    </row>
    <row r="64" spans="1:8" x14ac:dyDescent="0.3">
      <c r="A64">
        <f>F61</f>
        <v>87.25</v>
      </c>
    </row>
    <row r="66" spans="1:8" x14ac:dyDescent="0.3">
      <c r="A66">
        <v>1.25</v>
      </c>
    </row>
    <row r="68" spans="1:8" x14ac:dyDescent="0.3">
      <c r="A68">
        <f>C61-F61</f>
        <v>9.75</v>
      </c>
    </row>
    <row r="70" spans="1:8" x14ac:dyDescent="0.3">
      <c r="A70">
        <f>B61-F61</f>
        <v>-2.25</v>
      </c>
    </row>
    <row r="79" spans="1:8" ht="16.2" thickBot="1" x14ac:dyDescent="0.35"/>
    <row r="80" spans="1:8" ht="141" thickBot="1" x14ac:dyDescent="0.35">
      <c r="A80" s="34" t="s">
        <v>189</v>
      </c>
      <c r="B80" s="34" t="s">
        <v>199</v>
      </c>
      <c r="C80" s="34" t="s">
        <v>200</v>
      </c>
      <c r="D80" s="34" t="s">
        <v>201</v>
      </c>
      <c r="E80" s="36" t="s">
        <v>47</v>
      </c>
      <c r="F80" s="36" t="s">
        <v>48</v>
      </c>
      <c r="G80" s="36" t="s">
        <v>49</v>
      </c>
      <c r="H80" s="36" t="s">
        <v>50</v>
      </c>
    </row>
    <row r="81" spans="1:8" ht="16.2" thickBot="1" x14ac:dyDescent="0.35">
      <c r="A81" s="35" t="s">
        <v>202</v>
      </c>
      <c r="B81" s="35">
        <v>40</v>
      </c>
      <c r="C81" s="35">
        <v>50</v>
      </c>
      <c r="D81" s="35">
        <v>105</v>
      </c>
      <c r="E81" s="37">
        <v>1.05</v>
      </c>
      <c r="F81">
        <f>B81*E81</f>
        <v>42</v>
      </c>
      <c r="G81">
        <f>B81/E81</f>
        <v>38.095238095238095</v>
      </c>
      <c r="H81">
        <f>(C81/B81)/100</f>
        <v>1.2500000000000001E-2</v>
      </c>
    </row>
    <row r="82" spans="1:8" ht="25.8" customHeight="1" thickBot="1" x14ac:dyDescent="0.35">
      <c r="A82" s="35" t="s">
        <v>203</v>
      </c>
      <c r="B82" s="35">
        <v>80</v>
      </c>
      <c r="C82" s="35">
        <v>99</v>
      </c>
      <c r="D82" s="35">
        <v>112.5</v>
      </c>
      <c r="E82" s="37">
        <v>1.125</v>
      </c>
      <c r="F82">
        <f t="shared" ref="F82:F83" si="9">B82*E82</f>
        <v>90</v>
      </c>
      <c r="G82">
        <f>B82/E82</f>
        <v>71.111111111111114</v>
      </c>
      <c r="H82">
        <f t="shared" ref="H82:H83" si="10">(C82/B82)/100</f>
        <v>1.2375000000000001E-2</v>
      </c>
    </row>
    <row r="83" spans="1:8" ht="49.2" customHeight="1" thickBot="1" x14ac:dyDescent="0.35">
      <c r="A83" s="35" t="s">
        <v>204</v>
      </c>
      <c r="B83" s="35">
        <v>60</v>
      </c>
      <c r="C83" s="35">
        <v>55</v>
      </c>
      <c r="D83" s="35">
        <v>95</v>
      </c>
      <c r="E83" s="37">
        <v>0.95</v>
      </c>
      <c r="F83">
        <f t="shared" si="9"/>
        <v>57</v>
      </c>
      <c r="G83">
        <f>B83/E83</f>
        <v>63.15789473684211</v>
      </c>
      <c r="H83">
        <f t="shared" si="10"/>
        <v>9.1666666666666667E-3</v>
      </c>
    </row>
    <row r="84" spans="1:8" x14ac:dyDescent="0.3">
      <c r="B84">
        <f t="shared" ref="B84:C84" si="11">SUM(B81:B83)</f>
        <v>180</v>
      </c>
      <c r="C84">
        <f t="shared" si="11"/>
        <v>204</v>
      </c>
      <c r="F84">
        <f>SUM(F81:F83)</f>
        <v>189</v>
      </c>
      <c r="G84">
        <f>SUM(G81:G83)</f>
        <v>172.36424394319133</v>
      </c>
    </row>
    <row r="87" spans="1:8" x14ac:dyDescent="0.3">
      <c r="A87">
        <f>F84</f>
        <v>189</v>
      </c>
      <c r="C87">
        <v>12.37</v>
      </c>
    </row>
    <row r="88" spans="1:8" x14ac:dyDescent="0.3">
      <c r="A88">
        <f>F84-B84</f>
        <v>9</v>
      </c>
    </row>
    <row r="89" spans="1:8" x14ac:dyDescent="0.3">
      <c r="A89">
        <f>G84-B84</f>
        <v>-7.635756056808674</v>
      </c>
    </row>
  </sheetData>
  <mergeCells count="3">
    <mergeCell ref="A1:A2"/>
    <mergeCell ref="A15:F15"/>
    <mergeCell ref="A22:D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13F0-6F00-4FD0-953F-AFFB9C5F81E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634-8A98-4145-B465-CD1A098E8701}">
  <dimension ref="A1:G21"/>
  <sheetViews>
    <sheetView topLeftCell="A5" zoomScale="85" zoomScaleNormal="85" workbookViewId="0">
      <selection activeCell="E3" sqref="E3"/>
    </sheetView>
  </sheetViews>
  <sheetFormatPr defaultRowHeight="15.6" x14ac:dyDescent="0.3"/>
  <cols>
    <col min="5" max="5" width="10.59765625" bestFit="1" customWidth="1"/>
  </cols>
  <sheetData>
    <row r="1" spans="1:7" ht="20.399999999999999" x14ac:dyDescent="0.3">
      <c r="A1" s="24" t="s">
        <v>37</v>
      </c>
      <c r="B1" s="25" t="s">
        <v>66</v>
      </c>
      <c r="C1" s="25" t="s">
        <v>67</v>
      </c>
      <c r="D1" s="25" t="s">
        <v>68</v>
      </c>
      <c r="E1" s="30" t="s">
        <v>49</v>
      </c>
      <c r="F1" s="30" t="s">
        <v>48</v>
      </c>
      <c r="G1" s="33" t="s">
        <v>76</v>
      </c>
    </row>
    <row r="2" spans="1:7" ht="30.6" x14ac:dyDescent="0.3">
      <c r="A2" s="24"/>
      <c r="B2" s="25" t="s">
        <v>69</v>
      </c>
      <c r="C2" s="31" t="s">
        <v>70</v>
      </c>
      <c r="D2" s="32" t="s">
        <v>71</v>
      </c>
      <c r="E2" s="30"/>
      <c r="F2" s="30"/>
      <c r="G2" s="30"/>
    </row>
    <row r="3" spans="1:7" x14ac:dyDescent="0.3">
      <c r="A3" s="24" t="s">
        <v>72</v>
      </c>
      <c r="B3" s="25">
        <v>550</v>
      </c>
      <c r="C3" s="25">
        <v>110</v>
      </c>
      <c r="D3" s="25">
        <v>102</v>
      </c>
      <c r="E3" s="30">
        <f>B3*1.1</f>
        <v>605</v>
      </c>
      <c r="F3" s="30">
        <f>B3*1.02</f>
        <v>561</v>
      </c>
      <c r="G3" s="30">
        <f>B3*1.1*1.02</f>
        <v>617.1</v>
      </c>
    </row>
    <row r="4" spans="1:7" x14ac:dyDescent="0.3">
      <c r="A4" s="24" t="s">
        <v>73</v>
      </c>
      <c r="B4" s="25">
        <v>400</v>
      </c>
      <c r="C4" s="25">
        <v>120</v>
      </c>
      <c r="D4" s="25">
        <v>95</v>
      </c>
      <c r="E4" s="30">
        <f>B4*1.2</f>
        <v>480</v>
      </c>
      <c r="F4" s="30">
        <f>B4*0.95</f>
        <v>380</v>
      </c>
      <c r="G4" s="30">
        <f>B4*1.2*0.95</f>
        <v>456</v>
      </c>
    </row>
    <row r="5" spans="1:7" x14ac:dyDescent="0.3">
      <c r="A5" s="24" t="s">
        <v>74</v>
      </c>
      <c r="B5" s="25">
        <v>750</v>
      </c>
      <c r="C5" s="25">
        <v>102</v>
      </c>
      <c r="D5" s="25">
        <v>110</v>
      </c>
      <c r="E5" s="30">
        <f>B5*1.02</f>
        <v>765</v>
      </c>
      <c r="F5" s="30">
        <f>B5*1.1</f>
        <v>825.00000000000011</v>
      </c>
      <c r="G5" s="30">
        <f>B5*1.02*1.1</f>
        <v>841.50000000000011</v>
      </c>
    </row>
    <row r="6" spans="1:7" x14ac:dyDescent="0.3">
      <c r="A6" s="24" t="s">
        <v>8</v>
      </c>
      <c r="B6" s="25">
        <v>1700</v>
      </c>
      <c r="C6" s="24"/>
      <c r="D6" s="24"/>
      <c r="E6" s="30">
        <f>SUM(E3:E5)</f>
        <v>1850</v>
      </c>
      <c r="F6" s="30">
        <f>SUM(F3:F5)</f>
        <v>1766</v>
      </c>
      <c r="G6" s="30">
        <f>SUM(G3:G5)</f>
        <v>1914.6</v>
      </c>
    </row>
    <row r="7" spans="1:7" x14ac:dyDescent="0.3">
      <c r="B7" s="30" t="s">
        <v>20</v>
      </c>
      <c r="C7" s="30" t="s">
        <v>50</v>
      </c>
      <c r="D7" s="30" t="s">
        <v>47</v>
      </c>
      <c r="E7" s="30" t="s">
        <v>49</v>
      </c>
      <c r="F7" s="30" t="s">
        <v>48</v>
      </c>
      <c r="G7" s="30" t="s">
        <v>21</v>
      </c>
    </row>
    <row r="11" spans="1:7" x14ac:dyDescent="0.3">
      <c r="A11" s="26" t="s">
        <v>75</v>
      </c>
      <c r="E11" s="30">
        <f>G6</f>
        <v>1914.6</v>
      </c>
    </row>
    <row r="14" spans="1:7" x14ac:dyDescent="0.3">
      <c r="A14" t="s">
        <v>48</v>
      </c>
      <c r="E14" s="30">
        <f>SUM(F3:F5)</f>
        <v>1766</v>
      </c>
    </row>
    <row r="17" spans="1:5" ht="30.6" customHeight="1" x14ac:dyDescent="0.3">
      <c r="A17" s="44" t="s">
        <v>77</v>
      </c>
      <c r="B17" s="44"/>
      <c r="C17" s="44"/>
      <c r="E17" s="30">
        <f>G6-B6</f>
        <v>214.59999999999991</v>
      </c>
    </row>
    <row r="19" spans="1:5" x14ac:dyDescent="0.3">
      <c r="A19" t="s">
        <v>78</v>
      </c>
      <c r="E19" s="30">
        <f>E6-B6</f>
        <v>150</v>
      </c>
    </row>
    <row r="21" spans="1:5" ht="42.6" customHeight="1" x14ac:dyDescent="0.3">
      <c r="A21" s="44" t="s">
        <v>79</v>
      </c>
      <c r="B21" s="44"/>
      <c r="C21" s="44"/>
      <c r="E21" s="30">
        <f>G4</f>
        <v>456</v>
      </c>
    </row>
  </sheetData>
  <mergeCells count="2">
    <mergeCell ref="A17:C17"/>
    <mergeCell ref="A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641C-CBF2-4D5C-B3F3-C70797B9996C}">
  <dimension ref="A1:H40"/>
  <sheetViews>
    <sheetView topLeftCell="A25" workbookViewId="0">
      <selection activeCell="F31" sqref="F31"/>
    </sheetView>
  </sheetViews>
  <sheetFormatPr defaultRowHeight="15.6" x14ac:dyDescent="0.3"/>
  <cols>
    <col min="6" max="6" width="14.09765625" customWidth="1"/>
    <col min="7" max="7" width="11.09765625" customWidth="1"/>
    <col min="8" max="8" width="10.59765625" bestFit="1" customWidth="1"/>
  </cols>
  <sheetData>
    <row r="1" spans="1:8" ht="20.399999999999999" x14ac:dyDescent="0.3">
      <c r="A1" s="24" t="s">
        <v>80</v>
      </c>
      <c r="B1" s="25" t="s">
        <v>81</v>
      </c>
      <c r="C1" s="25" t="s">
        <v>81</v>
      </c>
      <c r="D1" s="25" t="s">
        <v>82</v>
      </c>
      <c r="E1" s="25" t="s">
        <v>82</v>
      </c>
    </row>
    <row r="2" spans="1:8" ht="20.399999999999999" x14ac:dyDescent="0.3">
      <c r="A2" s="24" t="s">
        <v>83</v>
      </c>
      <c r="B2" s="25" t="s">
        <v>84</v>
      </c>
      <c r="C2" s="25" t="s">
        <v>84</v>
      </c>
      <c r="D2" s="25" t="s">
        <v>85</v>
      </c>
      <c r="E2" s="25" t="s">
        <v>85</v>
      </c>
      <c r="H2" s="25" t="s">
        <v>97</v>
      </c>
    </row>
    <row r="3" spans="1:8" x14ac:dyDescent="0.3">
      <c r="A3" s="24"/>
      <c r="B3" s="25" t="s">
        <v>86</v>
      </c>
      <c r="C3" s="25" t="s">
        <v>87</v>
      </c>
      <c r="D3" s="25" t="s">
        <v>87</v>
      </c>
      <c r="E3" s="25" t="s">
        <v>86</v>
      </c>
      <c r="F3">
        <v>2020</v>
      </c>
      <c r="G3">
        <v>2021</v>
      </c>
      <c r="H3" s="25" t="s">
        <v>98</v>
      </c>
    </row>
    <row r="4" spans="1:8" ht="20.399999999999999" x14ac:dyDescent="0.3">
      <c r="A4" s="24" t="s">
        <v>88</v>
      </c>
      <c r="B4" s="25">
        <v>40</v>
      </c>
      <c r="C4" s="25">
        <v>68.900000000000006</v>
      </c>
      <c r="D4" s="25">
        <v>90</v>
      </c>
      <c r="E4" s="25">
        <v>100</v>
      </c>
      <c r="F4">
        <f>(C4/100)/D4</f>
        <v>7.6555555555555561E-3</v>
      </c>
      <c r="G4">
        <f>(B4/100)/E4</f>
        <v>4.0000000000000001E-3</v>
      </c>
      <c r="H4">
        <f>(B4/100)*(D4/E4)</f>
        <v>0.36000000000000004</v>
      </c>
    </row>
    <row r="5" spans="1:8" ht="20.399999999999999" x14ac:dyDescent="0.3">
      <c r="A5" s="24" t="s">
        <v>89</v>
      </c>
      <c r="B5" s="25">
        <v>20</v>
      </c>
      <c r="C5" s="25">
        <v>16.7</v>
      </c>
      <c r="D5" s="25">
        <v>50</v>
      </c>
      <c r="E5" s="25">
        <v>56</v>
      </c>
      <c r="F5">
        <f t="shared" ref="F5:F6" si="0">(C5/100)/D5</f>
        <v>3.3399999999999997E-3</v>
      </c>
      <c r="G5">
        <f t="shared" ref="G5:G6" si="1">(B5/100)/E5</f>
        <v>3.5714285714285718E-3</v>
      </c>
      <c r="H5">
        <f t="shared" ref="H5:H6" si="2">(B5/100)*(D5/E5)</f>
        <v>0.1785714285714286</v>
      </c>
    </row>
    <row r="6" spans="1:8" ht="20.399999999999999" x14ac:dyDescent="0.3">
      <c r="A6" s="24" t="s">
        <v>90</v>
      </c>
      <c r="B6" s="25">
        <v>40</v>
      </c>
      <c r="C6" s="25">
        <v>14.4</v>
      </c>
      <c r="D6" s="25">
        <v>42</v>
      </c>
      <c r="E6" s="25">
        <v>45</v>
      </c>
      <c r="F6">
        <f t="shared" si="0"/>
        <v>3.4285714285714288E-3</v>
      </c>
      <c r="G6">
        <f t="shared" si="1"/>
        <v>8.8888888888888889E-3</v>
      </c>
      <c r="H6">
        <f t="shared" si="2"/>
        <v>0.37333333333333335</v>
      </c>
    </row>
    <row r="7" spans="1:8" x14ac:dyDescent="0.3">
      <c r="A7" s="24" t="s">
        <v>8</v>
      </c>
      <c r="B7" s="25">
        <v>100</v>
      </c>
      <c r="C7" s="25">
        <v>100</v>
      </c>
      <c r="D7" s="24"/>
      <c r="E7" s="24"/>
      <c r="F7">
        <f>SUM(F4:F6)</f>
        <v>1.4424126984126984E-2</v>
      </c>
      <c r="G7">
        <f>SUM(G4:G6)</f>
        <v>1.646031746031746E-2</v>
      </c>
      <c r="H7">
        <f>SUM(H4:H6)</f>
        <v>0.911904761904762</v>
      </c>
    </row>
    <row r="8" spans="1:8" x14ac:dyDescent="0.3">
      <c r="B8" t="s">
        <v>23</v>
      </c>
      <c r="C8" t="s">
        <v>22</v>
      </c>
      <c r="D8" t="s">
        <v>20</v>
      </c>
      <c r="E8" t="s">
        <v>21</v>
      </c>
      <c r="F8" t="s">
        <v>24</v>
      </c>
      <c r="G8" t="s">
        <v>25</v>
      </c>
    </row>
    <row r="12" spans="1:8" x14ac:dyDescent="0.3">
      <c r="A12" s="26" t="s">
        <v>91</v>
      </c>
      <c r="G12">
        <f>1/F7</f>
        <v>69.32828594066379</v>
      </c>
    </row>
    <row r="14" spans="1:8" x14ac:dyDescent="0.3">
      <c r="A14" s="26" t="s">
        <v>92</v>
      </c>
      <c r="G14">
        <f>1/G7</f>
        <v>60.752169720347155</v>
      </c>
    </row>
    <row r="17" spans="1:7" x14ac:dyDescent="0.3">
      <c r="A17" s="26" t="s">
        <v>93</v>
      </c>
    </row>
    <row r="20" spans="1:7" ht="28.2" customHeight="1" x14ac:dyDescent="0.3">
      <c r="A20" s="44" t="s">
        <v>96</v>
      </c>
      <c r="B20" s="44"/>
      <c r="C20" s="44"/>
      <c r="D20" s="44"/>
      <c r="G20">
        <f>((1/H5)-1)*100</f>
        <v>459.99999999999989</v>
      </c>
    </row>
    <row r="24" spans="1:7" ht="62.4" customHeight="1" x14ac:dyDescent="0.3">
      <c r="A24" s="45" t="s">
        <v>95</v>
      </c>
      <c r="B24" s="45"/>
      <c r="C24" s="45"/>
      <c r="D24" s="45"/>
    </row>
    <row r="26" spans="1:7" x14ac:dyDescent="0.3">
      <c r="A26" s="26" t="s">
        <v>94</v>
      </c>
    </row>
    <row r="28" spans="1:7" ht="20.399999999999999" x14ac:dyDescent="0.3">
      <c r="A28" s="46" t="s">
        <v>37</v>
      </c>
      <c r="B28" s="38" t="s">
        <v>136</v>
      </c>
      <c r="C28" s="38" t="s">
        <v>136</v>
      </c>
      <c r="D28" s="38" t="s">
        <v>126</v>
      </c>
    </row>
    <row r="29" spans="1:7" ht="20.399999999999999" x14ac:dyDescent="0.3">
      <c r="A29" s="46"/>
      <c r="B29" s="38" t="s">
        <v>137</v>
      </c>
      <c r="C29" s="38" t="s">
        <v>138</v>
      </c>
      <c r="D29" s="38" t="s">
        <v>139</v>
      </c>
      <c r="F29" s="38" t="s">
        <v>48</v>
      </c>
      <c r="G29" s="38" t="s">
        <v>49</v>
      </c>
    </row>
    <row r="30" spans="1:7" x14ac:dyDescent="0.3">
      <c r="A30" s="39" t="s">
        <v>140</v>
      </c>
      <c r="B30" s="38">
        <v>190</v>
      </c>
      <c r="C30" s="38">
        <v>200</v>
      </c>
      <c r="D30" s="38">
        <v>103</v>
      </c>
      <c r="F30">
        <f>C30/1.03</f>
        <v>194.17475728155338</v>
      </c>
      <c r="G30">
        <f>B30*1.03</f>
        <v>195.70000000000002</v>
      </c>
    </row>
    <row r="31" spans="1:7" x14ac:dyDescent="0.3">
      <c r="A31" s="39" t="s">
        <v>141</v>
      </c>
      <c r="B31" s="38">
        <v>180</v>
      </c>
      <c r="C31" s="38">
        <v>210</v>
      </c>
      <c r="D31" s="38">
        <v>105</v>
      </c>
      <c r="F31">
        <f>C31/1.05</f>
        <v>200</v>
      </c>
      <c r="G31">
        <f>B31*1.05</f>
        <v>189</v>
      </c>
    </row>
    <row r="32" spans="1:7" x14ac:dyDescent="0.3">
      <c r="A32" s="39" t="s">
        <v>142</v>
      </c>
      <c r="B32" s="38">
        <v>240</v>
      </c>
      <c r="C32" s="38">
        <v>300</v>
      </c>
      <c r="D32" s="38">
        <v>110</v>
      </c>
      <c r="F32">
        <f>C32/1.1</f>
        <v>272.72727272727269</v>
      </c>
      <c r="G32">
        <f>B32*1.1</f>
        <v>264</v>
      </c>
    </row>
    <row r="33" spans="1:7" x14ac:dyDescent="0.3">
      <c r="A33" s="39" t="s">
        <v>8</v>
      </c>
      <c r="B33" s="38">
        <v>610</v>
      </c>
      <c r="C33" s="38">
        <v>710</v>
      </c>
      <c r="D33" s="39"/>
      <c r="F33">
        <f>SUM(F30:F32)</f>
        <v>666.90203000882616</v>
      </c>
      <c r="G33">
        <f>SUM(G30:G32)</f>
        <v>648.70000000000005</v>
      </c>
    </row>
    <row r="37" spans="1:7" x14ac:dyDescent="0.3">
      <c r="C37">
        <f>190*1.0527</f>
        <v>200.01300000000001</v>
      </c>
      <c r="E37">
        <f>1.03*1.05*1.1</f>
        <v>1.1896500000000003</v>
      </c>
    </row>
    <row r="40" spans="1:7" x14ac:dyDescent="0.3">
      <c r="C40">
        <f>240*1.1</f>
        <v>264</v>
      </c>
    </row>
  </sheetData>
  <mergeCells count="3">
    <mergeCell ref="A24:D24"/>
    <mergeCell ref="A20:D20"/>
    <mergeCell ref="A28:A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AB8A-F18E-4BB8-82DB-4A56207E5DBB}">
  <dimension ref="A1:H59"/>
  <sheetViews>
    <sheetView topLeftCell="A70" workbookViewId="0">
      <selection activeCell="F50" sqref="F50"/>
    </sheetView>
  </sheetViews>
  <sheetFormatPr defaultRowHeight="15.6" x14ac:dyDescent="0.3"/>
  <cols>
    <col min="4" max="4" width="11.59765625" customWidth="1"/>
    <col min="6" max="6" width="10.59765625" bestFit="1" customWidth="1"/>
  </cols>
  <sheetData>
    <row r="1" spans="1:8" ht="93" customHeight="1" thickBot="1" x14ac:dyDescent="0.35">
      <c r="A1" s="34" t="s">
        <v>37</v>
      </c>
      <c r="B1" s="34" t="s">
        <v>99</v>
      </c>
      <c r="C1" s="34" t="s">
        <v>100</v>
      </c>
      <c r="D1" s="34" t="s">
        <v>101</v>
      </c>
      <c r="E1" s="36" t="s">
        <v>47</v>
      </c>
      <c r="F1" s="36" t="s">
        <v>48</v>
      </c>
      <c r="G1" s="36" t="s">
        <v>49</v>
      </c>
    </row>
    <row r="2" spans="1:8" ht="16.2" thickBot="1" x14ac:dyDescent="0.35">
      <c r="A2" s="35" t="s">
        <v>102</v>
      </c>
      <c r="B2" s="35">
        <v>150</v>
      </c>
      <c r="C2" s="35">
        <v>180</v>
      </c>
      <c r="D2" s="35">
        <v>115</v>
      </c>
      <c r="E2" s="37">
        <v>1.1499999999999999</v>
      </c>
      <c r="F2">
        <f>C2/E2</f>
        <v>156.52173913043478</v>
      </c>
      <c r="G2">
        <f>B2*E2</f>
        <v>172.5</v>
      </c>
    </row>
    <row r="3" spans="1:8" ht="16.2" thickBot="1" x14ac:dyDescent="0.35">
      <c r="A3" s="35" t="s">
        <v>103</v>
      </c>
      <c r="B3" s="35">
        <v>120</v>
      </c>
      <c r="C3" s="35">
        <v>110</v>
      </c>
      <c r="D3" s="35">
        <v>105</v>
      </c>
      <c r="E3" s="37">
        <v>1.05</v>
      </c>
      <c r="F3">
        <f t="shared" ref="F3:F4" si="0">C3/E3</f>
        <v>104.76190476190476</v>
      </c>
      <c r="G3">
        <f t="shared" ref="G3:G4" si="1">B3*E3</f>
        <v>126</v>
      </c>
    </row>
    <row r="4" spans="1:8" ht="30.6" thickBot="1" x14ac:dyDescent="0.35">
      <c r="A4" s="35" t="s">
        <v>104</v>
      </c>
      <c r="B4" s="35">
        <v>200</v>
      </c>
      <c r="C4" s="35">
        <v>250</v>
      </c>
      <c r="D4" s="35">
        <v>120</v>
      </c>
      <c r="E4" s="37">
        <v>1.2</v>
      </c>
      <c r="F4">
        <f t="shared" si="0"/>
        <v>208.33333333333334</v>
      </c>
      <c r="G4">
        <f t="shared" si="1"/>
        <v>240</v>
      </c>
    </row>
    <row r="5" spans="1:8" ht="31.8" thickBot="1" x14ac:dyDescent="0.35">
      <c r="A5" s="34" t="s">
        <v>8</v>
      </c>
      <c r="B5" s="34">
        <v>470</v>
      </c>
      <c r="C5" s="34">
        <v>540</v>
      </c>
      <c r="D5" s="35"/>
      <c r="F5">
        <f>SUM(F2:F4)</f>
        <v>469.61697722567294</v>
      </c>
      <c r="G5">
        <f>SUM(G2:G4)</f>
        <v>538.5</v>
      </c>
    </row>
    <row r="8" spans="1:8" x14ac:dyDescent="0.3">
      <c r="A8" t="s">
        <v>48</v>
      </c>
      <c r="B8">
        <f>SUM(B5:B7)</f>
        <v>470</v>
      </c>
    </row>
    <row r="10" spans="1:8" x14ac:dyDescent="0.3">
      <c r="A10" t="s">
        <v>105</v>
      </c>
      <c r="H10">
        <f>G2</f>
        <v>172.5</v>
      </c>
    </row>
    <row r="12" spans="1:8" x14ac:dyDescent="0.3">
      <c r="A12" t="s">
        <v>119</v>
      </c>
      <c r="C12">
        <f>F5-B5</f>
        <v>-0.38302277432705978</v>
      </c>
    </row>
    <row r="14" spans="1:8" x14ac:dyDescent="0.3">
      <c r="A14" t="s">
        <v>107</v>
      </c>
      <c r="G14">
        <f>G5-F5</f>
        <v>68.88302277432706</v>
      </c>
    </row>
    <row r="15" spans="1:8" x14ac:dyDescent="0.3">
      <c r="A15" t="s">
        <v>108</v>
      </c>
    </row>
    <row r="17" spans="1:8" x14ac:dyDescent="0.3">
      <c r="A17" t="s">
        <v>109</v>
      </c>
      <c r="F17">
        <f>C5-B5</f>
        <v>70</v>
      </c>
    </row>
    <row r="27" spans="1:8" ht="20.399999999999999" x14ac:dyDescent="0.3">
      <c r="A27" s="24" t="s">
        <v>80</v>
      </c>
      <c r="B27" s="25" t="s">
        <v>81</v>
      </c>
      <c r="C27" s="25" t="s">
        <v>81</v>
      </c>
      <c r="D27" s="25" t="s">
        <v>82</v>
      </c>
      <c r="E27" s="25" t="s">
        <v>82</v>
      </c>
    </row>
    <row r="28" spans="1:8" ht="20.399999999999999" x14ac:dyDescent="0.3">
      <c r="A28" s="24" t="s">
        <v>83</v>
      </c>
      <c r="B28" s="25" t="s">
        <v>84</v>
      </c>
      <c r="C28" s="25" t="s">
        <v>84</v>
      </c>
      <c r="D28" s="25" t="s">
        <v>85</v>
      </c>
      <c r="E28" s="25" t="s">
        <v>85</v>
      </c>
      <c r="H28" s="25" t="s">
        <v>98</v>
      </c>
    </row>
    <row r="29" spans="1:8" x14ac:dyDescent="0.3">
      <c r="A29" s="24"/>
      <c r="B29" s="25" t="s">
        <v>86</v>
      </c>
      <c r="C29" s="25" t="s">
        <v>87</v>
      </c>
      <c r="D29" s="25" t="s">
        <v>87</v>
      </c>
      <c r="E29" s="25" t="s">
        <v>86</v>
      </c>
      <c r="F29">
        <v>2020</v>
      </c>
      <c r="G29">
        <v>2021</v>
      </c>
    </row>
    <row r="30" spans="1:8" ht="20.399999999999999" x14ac:dyDescent="0.3">
      <c r="A30" s="24" t="s">
        <v>88</v>
      </c>
      <c r="B30" s="25">
        <v>40</v>
      </c>
      <c r="C30" s="25">
        <v>68.900000000000006</v>
      </c>
      <c r="D30" s="25">
        <v>90</v>
      </c>
      <c r="E30" s="25">
        <v>100</v>
      </c>
      <c r="F30">
        <f>(C30/D30)/100</f>
        <v>7.6555555555555569E-3</v>
      </c>
      <c r="G30">
        <f>(B30/E30)/100</f>
        <v>4.0000000000000001E-3</v>
      </c>
      <c r="H30">
        <f>(B30/100)*(D30/E30)</f>
        <v>0.36000000000000004</v>
      </c>
    </row>
    <row r="31" spans="1:8" ht="20.399999999999999" x14ac:dyDescent="0.3">
      <c r="A31" s="24" t="s">
        <v>89</v>
      </c>
      <c r="B31" s="25">
        <v>20</v>
      </c>
      <c r="C31" s="25">
        <v>16.7</v>
      </c>
      <c r="D31" s="25">
        <v>50</v>
      </c>
      <c r="E31" s="25">
        <v>56</v>
      </c>
      <c r="F31">
        <f t="shared" ref="F31:F32" si="2">(C31/D31)/100</f>
        <v>3.3399999999999997E-3</v>
      </c>
      <c r="G31">
        <f t="shared" ref="G31:G32" si="3">(B31/E31)/100</f>
        <v>3.5714285714285713E-3</v>
      </c>
      <c r="H31">
        <f t="shared" ref="H31:H32" si="4">(B31/100)*(D31/E31)</f>
        <v>0.1785714285714286</v>
      </c>
    </row>
    <row r="32" spans="1:8" ht="20.399999999999999" x14ac:dyDescent="0.3">
      <c r="A32" s="24" t="s">
        <v>90</v>
      </c>
      <c r="B32" s="25">
        <v>40</v>
      </c>
      <c r="C32" s="25">
        <v>14.4</v>
      </c>
      <c r="D32" s="25">
        <v>42</v>
      </c>
      <c r="E32" s="25">
        <v>45</v>
      </c>
      <c r="F32">
        <f t="shared" si="2"/>
        <v>3.4285714285714284E-3</v>
      </c>
      <c r="G32">
        <f t="shared" si="3"/>
        <v>8.8888888888888889E-3</v>
      </c>
      <c r="H32">
        <f t="shared" si="4"/>
        <v>0.37333333333333335</v>
      </c>
    </row>
    <row r="33" spans="1:8" x14ac:dyDescent="0.3">
      <c r="A33" s="24" t="s">
        <v>8</v>
      </c>
      <c r="B33" s="25">
        <v>100</v>
      </c>
      <c r="C33" s="25">
        <v>100</v>
      </c>
      <c r="D33" s="24"/>
      <c r="E33" s="24"/>
      <c r="F33">
        <f>SUM(F30:F32)</f>
        <v>1.4424126984126985E-2</v>
      </c>
      <c r="G33">
        <f>SUM(G30:G32)</f>
        <v>1.646031746031746E-2</v>
      </c>
      <c r="H33">
        <f>SUM(H30:H32)</f>
        <v>0.911904761904762</v>
      </c>
    </row>
    <row r="34" spans="1:8" x14ac:dyDescent="0.3">
      <c r="B34" t="s">
        <v>21</v>
      </c>
      <c r="C34" t="s">
        <v>20</v>
      </c>
      <c r="D34" t="s">
        <v>22</v>
      </c>
      <c r="E34" t="s">
        <v>23</v>
      </c>
      <c r="F34" t="s">
        <v>24</v>
      </c>
      <c r="G34" t="s">
        <v>25</v>
      </c>
    </row>
    <row r="37" spans="1:8" x14ac:dyDescent="0.3">
      <c r="D37" t="s">
        <v>134</v>
      </c>
      <c r="E37">
        <f>1/F33</f>
        <v>69.32828594066379</v>
      </c>
    </row>
    <row r="38" spans="1:8" x14ac:dyDescent="0.3">
      <c r="D38" t="s">
        <v>135</v>
      </c>
      <c r="E38">
        <f>1/G33</f>
        <v>60.752169720347155</v>
      </c>
    </row>
    <row r="48" spans="1:8" ht="20.399999999999999" x14ac:dyDescent="0.3">
      <c r="A48" s="41" t="s">
        <v>38</v>
      </c>
      <c r="B48" s="25" t="s">
        <v>39</v>
      </c>
      <c r="C48" s="25" t="s">
        <v>39</v>
      </c>
      <c r="D48" s="25" t="s">
        <v>42</v>
      </c>
    </row>
    <row r="49" spans="1:8" ht="20.399999999999999" x14ac:dyDescent="0.3">
      <c r="A49" s="41"/>
      <c r="B49" s="25" t="s">
        <v>40</v>
      </c>
      <c r="C49" s="25" t="s">
        <v>41</v>
      </c>
      <c r="D49" s="25" t="s">
        <v>43</v>
      </c>
      <c r="F49" s="25" t="s">
        <v>48</v>
      </c>
      <c r="G49" s="25" t="s">
        <v>49</v>
      </c>
      <c r="H49" s="25" t="s">
        <v>50</v>
      </c>
    </row>
    <row r="50" spans="1:8" x14ac:dyDescent="0.3">
      <c r="A50" s="24" t="s">
        <v>44</v>
      </c>
      <c r="B50" s="25">
        <v>15.6</v>
      </c>
      <c r="C50" s="25">
        <v>21.95</v>
      </c>
      <c r="D50" s="25">
        <v>115.07</v>
      </c>
      <c r="F50">
        <f>B50*1.1507</f>
        <v>17.95092</v>
      </c>
      <c r="G50">
        <f>C50/1.1507</f>
        <v>19.075345441904926</v>
      </c>
      <c r="H50">
        <f>(C50/B50)/1.1507</f>
        <v>1.2227785539682645</v>
      </c>
    </row>
    <row r="51" spans="1:8" x14ac:dyDescent="0.3">
      <c r="A51" s="24" t="s">
        <v>45</v>
      </c>
      <c r="B51" s="25">
        <v>25.33</v>
      </c>
      <c r="C51" s="25">
        <v>24.93</v>
      </c>
      <c r="D51" s="25">
        <v>84.35</v>
      </c>
      <c r="F51">
        <f>B51*0.8435</f>
        <v>21.365855</v>
      </c>
      <c r="G51">
        <f>C51/0.8435</f>
        <v>29.555423829282748</v>
      </c>
      <c r="H51">
        <f>(C51/B51)/0.8435</f>
        <v>1.1668149952342184</v>
      </c>
    </row>
    <row r="52" spans="1:8" x14ac:dyDescent="0.3">
      <c r="A52" s="24" t="s">
        <v>46</v>
      </c>
      <c r="B52" s="25">
        <v>17.920000000000002</v>
      </c>
      <c r="C52" s="25">
        <v>17.22</v>
      </c>
      <c r="D52" s="25">
        <v>115.35</v>
      </c>
      <c r="F52">
        <f>B52*1.1535</f>
        <v>20.670720000000003</v>
      </c>
      <c r="G52">
        <f>C52/1.1535</f>
        <v>14.928478543563068</v>
      </c>
      <c r="H52">
        <f>(C52/B52)/1.1535</f>
        <v>0.83306241872561759</v>
      </c>
    </row>
    <row r="53" spans="1:8" x14ac:dyDescent="0.3">
      <c r="B53">
        <f t="shared" ref="B53:C53" si="5">SUM(B50:B52)</f>
        <v>58.85</v>
      </c>
      <c r="C53">
        <f t="shared" si="5"/>
        <v>64.099999999999994</v>
      </c>
      <c r="F53">
        <f>SUM(F50:F52)</f>
        <v>59.987495000000003</v>
      </c>
      <c r="G53">
        <f>SUM(G50:G52)</f>
        <v>63.559247814750741</v>
      </c>
      <c r="H53">
        <f>SUM(H50:H52)</f>
        <v>3.2226559679281008</v>
      </c>
    </row>
    <row r="56" spans="1:8" x14ac:dyDescent="0.3">
      <c r="A56" s="26" t="s">
        <v>187</v>
      </c>
      <c r="D56">
        <v>59.98</v>
      </c>
    </row>
    <row r="59" spans="1:8" x14ac:dyDescent="0.3">
      <c r="A59" s="26" t="s">
        <v>188</v>
      </c>
      <c r="G59">
        <v>1.1599999999999999</v>
      </c>
    </row>
  </sheetData>
  <mergeCells count="1">
    <mergeCell ref="A48:A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131E-3C8E-4F88-8765-A60019000703}">
  <dimension ref="A1:L144"/>
  <sheetViews>
    <sheetView topLeftCell="A141" workbookViewId="0">
      <selection activeCell="E95" sqref="E95"/>
    </sheetView>
  </sheetViews>
  <sheetFormatPr defaultRowHeight="15.6" x14ac:dyDescent="0.3"/>
  <cols>
    <col min="6" max="6" width="10.59765625" bestFit="1" customWidth="1"/>
  </cols>
  <sheetData>
    <row r="1" spans="1:8" ht="141" thickBot="1" x14ac:dyDescent="0.35">
      <c r="A1" s="34" t="s">
        <v>37</v>
      </c>
      <c r="B1" s="34" t="s">
        <v>110</v>
      </c>
      <c r="C1" s="34" t="s">
        <v>111</v>
      </c>
      <c r="D1" s="34" t="s">
        <v>112</v>
      </c>
      <c r="E1" s="36"/>
      <c r="F1" s="36" t="s">
        <v>48</v>
      </c>
      <c r="G1" s="36" t="s">
        <v>49</v>
      </c>
      <c r="H1" s="36" t="s">
        <v>116</v>
      </c>
    </row>
    <row r="2" spans="1:8" ht="30.6" thickBot="1" x14ac:dyDescent="0.35">
      <c r="A2" s="35" t="s">
        <v>113</v>
      </c>
      <c r="B2" s="35">
        <v>300</v>
      </c>
      <c r="C2" s="35">
        <v>105</v>
      </c>
      <c r="D2" s="35">
        <v>110</v>
      </c>
      <c r="F2">
        <f>B2*1.1</f>
        <v>330</v>
      </c>
      <c r="G2">
        <f>B2*1.05</f>
        <v>315</v>
      </c>
      <c r="H2">
        <f>B2*1.05*1.1</f>
        <v>346.5</v>
      </c>
    </row>
    <row r="3" spans="1:8" ht="30.6" thickBot="1" x14ac:dyDescent="0.35">
      <c r="A3" s="35" t="s">
        <v>114</v>
      </c>
      <c r="B3" s="35">
        <v>450</v>
      </c>
      <c r="C3" s="35">
        <v>112</v>
      </c>
      <c r="D3" s="35">
        <v>90</v>
      </c>
      <c r="F3">
        <f>B3*0.9</f>
        <v>405</v>
      </c>
      <c r="G3">
        <f>B3*1.12</f>
        <v>504.00000000000006</v>
      </c>
      <c r="H3">
        <f>B3*1.12*0.9</f>
        <v>453.60000000000008</v>
      </c>
    </row>
    <row r="4" spans="1:8" ht="30.6" thickBot="1" x14ac:dyDescent="0.35">
      <c r="A4" s="35" t="s">
        <v>115</v>
      </c>
      <c r="B4" s="35">
        <v>600</v>
      </c>
      <c r="C4" s="35">
        <v>108</v>
      </c>
      <c r="D4" s="35">
        <v>105</v>
      </c>
      <c r="F4">
        <f>B4*1.05</f>
        <v>630</v>
      </c>
      <c r="G4">
        <f>B4*1.08</f>
        <v>648</v>
      </c>
      <c r="H4">
        <f>B4*1.08*1.05</f>
        <v>680.4</v>
      </c>
    </row>
    <row r="5" spans="1:8" ht="31.8" thickBot="1" x14ac:dyDescent="0.35">
      <c r="A5" s="34" t="s">
        <v>8</v>
      </c>
      <c r="B5" s="34">
        <v>1350</v>
      </c>
      <c r="C5" s="35"/>
      <c r="D5" s="35"/>
      <c r="F5">
        <f>SUM(F2:F4)</f>
        <v>1365</v>
      </c>
      <c r="G5">
        <f>SUM(G2:G4)</f>
        <v>1467</v>
      </c>
      <c r="H5">
        <f>SUM(H2:H4)</f>
        <v>1480.5</v>
      </c>
    </row>
    <row r="10" spans="1:8" x14ac:dyDescent="0.3">
      <c r="A10" s="36" t="s">
        <v>48</v>
      </c>
      <c r="C10">
        <f>SUM(F2:F4)</f>
        <v>1365</v>
      </c>
    </row>
    <row r="13" spans="1:8" x14ac:dyDescent="0.3">
      <c r="A13" t="s">
        <v>117</v>
      </c>
      <c r="F13">
        <f>H5-B5</f>
        <v>130.5</v>
      </c>
    </row>
    <row r="15" spans="1:8" x14ac:dyDescent="0.3">
      <c r="A15" t="s">
        <v>106</v>
      </c>
      <c r="C15">
        <f>G5-B5</f>
        <v>117</v>
      </c>
    </row>
    <row r="17" spans="1:8" x14ac:dyDescent="0.3">
      <c r="A17" t="s">
        <v>118</v>
      </c>
      <c r="H17">
        <v>453.6</v>
      </c>
    </row>
    <row r="26" spans="1:8" ht="132" x14ac:dyDescent="0.3">
      <c r="A26" s="27" t="s">
        <v>120</v>
      </c>
    </row>
    <row r="27" spans="1:8" ht="20.399999999999999" x14ac:dyDescent="0.3">
      <c r="A27" s="24" t="s">
        <v>37</v>
      </c>
      <c r="B27" s="25" t="s">
        <v>66</v>
      </c>
      <c r="C27" s="25" t="s">
        <v>67</v>
      </c>
      <c r="D27" s="25" t="s">
        <v>68</v>
      </c>
    </row>
    <row r="28" spans="1:8" ht="30.6" x14ac:dyDescent="0.3">
      <c r="A28" s="24"/>
      <c r="B28" s="25" t="s">
        <v>69</v>
      </c>
      <c r="C28" s="31" t="s">
        <v>70</v>
      </c>
      <c r="D28" s="32" t="s">
        <v>71</v>
      </c>
      <c r="F28" t="s">
        <v>48</v>
      </c>
      <c r="G28" t="s">
        <v>49</v>
      </c>
      <c r="H28" t="s">
        <v>121</v>
      </c>
    </row>
    <row r="29" spans="1:8" x14ac:dyDescent="0.3">
      <c r="A29" s="24" t="s">
        <v>72</v>
      </c>
      <c r="B29" s="25">
        <v>550</v>
      </c>
      <c r="C29" s="25">
        <v>110</v>
      </c>
      <c r="D29" s="25">
        <v>102</v>
      </c>
      <c r="F29">
        <f>B29*1.02</f>
        <v>561</v>
      </c>
      <c r="G29">
        <f>B29*1.1</f>
        <v>605</v>
      </c>
      <c r="H29">
        <f>B29*1.1*1.02</f>
        <v>617.1</v>
      </c>
    </row>
    <row r="30" spans="1:8" x14ac:dyDescent="0.3">
      <c r="A30" s="24" t="s">
        <v>73</v>
      </c>
      <c r="B30" s="25">
        <v>400</v>
      </c>
      <c r="C30" s="25">
        <v>120</v>
      </c>
      <c r="D30" s="25">
        <v>95</v>
      </c>
      <c r="F30">
        <f>B30*0.95</f>
        <v>380</v>
      </c>
      <c r="G30">
        <f>B30*1.2</f>
        <v>480</v>
      </c>
      <c r="H30">
        <f>B30*1.2*0.95</f>
        <v>456</v>
      </c>
    </row>
    <row r="31" spans="1:8" x14ac:dyDescent="0.3">
      <c r="A31" s="24" t="s">
        <v>74</v>
      </c>
      <c r="B31" s="25">
        <v>750</v>
      </c>
      <c r="C31" s="25">
        <v>102</v>
      </c>
      <c r="D31" s="25">
        <v>110</v>
      </c>
      <c r="F31">
        <f>B31*1.1</f>
        <v>825.00000000000011</v>
      </c>
      <c r="G31">
        <f>B31*1.02</f>
        <v>765</v>
      </c>
      <c r="H31">
        <f>B31*1.02*1.1</f>
        <v>841.50000000000011</v>
      </c>
    </row>
    <row r="32" spans="1:8" x14ac:dyDescent="0.3">
      <c r="A32" s="24" t="s">
        <v>8</v>
      </c>
      <c r="B32" s="25">
        <v>1700</v>
      </c>
      <c r="C32" s="24"/>
      <c r="D32" s="24"/>
      <c r="F32">
        <f>SUM(F29:F31)</f>
        <v>1766</v>
      </c>
      <c r="G32">
        <f t="shared" ref="G32:H32" si="0">SUM(G29:G31)</f>
        <v>1850</v>
      </c>
      <c r="H32">
        <f t="shared" si="0"/>
        <v>1914.6</v>
      </c>
    </row>
    <row r="35" spans="1:8" x14ac:dyDescent="0.3">
      <c r="F35" t="s">
        <v>122</v>
      </c>
      <c r="G35">
        <f>H32-B32</f>
        <v>214.59999999999991</v>
      </c>
    </row>
    <row r="36" spans="1:8" x14ac:dyDescent="0.3">
      <c r="F36" t="s">
        <v>123</v>
      </c>
      <c r="G36">
        <f>G32-B32</f>
        <v>150</v>
      </c>
    </row>
    <row r="40" spans="1:8" ht="20.399999999999999" x14ac:dyDescent="0.3">
      <c r="A40" s="46" t="s">
        <v>37</v>
      </c>
      <c r="B40" s="38" t="s">
        <v>124</v>
      </c>
      <c r="C40" s="38" t="s">
        <v>126</v>
      </c>
      <c r="D40" s="38" t="s">
        <v>128</v>
      </c>
    </row>
    <row r="41" spans="1:8" ht="20.399999999999999" x14ac:dyDescent="0.3">
      <c r="A41" s="46"/>
      <c r="B41" s="38" t="s">
        <v>125</v>
      </c>
      <c r="C41" s="38" t="s">
        <v>127</v>
      </c>
      <c r="D41" s="38" t="s">
        <v>129</v>
      </c>
      <c r="F41" s="38" t="s">
        <v>48</v>
      </c>
      <c r="G41" s="38" t="s">
        <v>49</v>
      </c>
      <c r="H41" s="38" t="s">
        <v>133</v>
      </c>
    </row>
    <row r="42" spans="1:8" x14ac:dyDescent="0.3">
      <c r="A42" s="39" t="s">
        <v>130</v>
      </c>
      <c r="B42" s="38">
        <v>650</v>
      </c>
      <c r="C42" s="38">
        <v>108</v>
      </c>
      <c r="D42" s="38">
        <v>103</v>
      </c>
      <c r="F42">
        <f>B42/1.03</f>
        <v>631.06796116504847</v>
      </c>
      <c r="G42">
        <f>B42/1.08</f>
        <v>601.85185185185185</v>
      </c>
      <c r="H42">
        <f>B42/1.03/1.08</f>
        <v>584.32218626393376</v>
      </c>
    </row>
    <row r="43" spans="1:8" x14ac:dyDescent="0.3">
      <c r="A43" s="39" t="s">
        <v>131</v>
      </c>
      <c r="B43" s="38">
        <v>350</v>
      </c>
      <c r="C43" s="38">
        <v>110</v>
      </c>
      <c r="D43" s="38">
        <v>108</v>
      </c>
      <c r="F43">
        <f>B43/1.08</f>
        <v>324.07407407407408</v>
      </c>
      <c r="G43">
        <f>B43/1.1</f>
        <v>318.18181818181813</v>
      </c>
      <c r="H43">
        <f t="shared" ref="H43:H44" si="1">B43/1.03/1.08</f>
        <v>314.63502337288742</v>
      </c>
    </row>
    <row r="44" spans="1:8" x14ac:dyDescent="0.3">
      <c r="A44" s="39" t="s">
        <v>132</v>
      </c>
      <c r="B44" s="38">
        <v>250</v>
      </c>
      <c r="C44" s="38">
        <v>112</v>
      </c>
      <c r="D44" s="38">
        <v>112.5</v>
      </c>
      <c r="F44">
        <f>B44/1.125</f>
        <v>222.22222222222223</v>
      </c>
      <c r="G44">
        <f>B44/1.12</f>
        <v>223.21428571428569</v>
      </c>
      <c r="H44">
        <f t="shared" si="1"/>
        <v>224.73930240920529</v>
      </c>
    </row>
    <row r="45" spans="1:8" x14ac:dyDescent="0.3">
      <c r="A45" s="39" t="s">
        <v>8</v>
      </c>
      <c r="B45" s="38">
        <v>1250</v>
      </c>
      <c r="C45" s="39"/>
      <c r="D45" s="39"/>
      <c r="F45">
        <f>SUM(F42:F44)</f>
        <v>1177.3642574613448</v>
      </c>
      <c r="G45">
        <f t="shared" ref="G45:H45" si="2">SUM(G42:G44)</f>
        <v>1143.2479557479558</v>
      </c>
      <c r="H45">
        <f t="shared" si="2"/>
        <v>1123.6965120460266</v>
      </c>
    </row>
    <row r="48" spans="1:8" x14ac:dyDescent="0.3">
      <c r="C48">
        <f>H42*1.08</f>
        <v>631.06796116504847</v>
      </c>
    </row>
    <row r="49" spans="1:7" x14ac:dyDescent="0.3">
      <c r="C49">
        <f>H43*1.08</f>
        <v>339.80582524271841</v>
      </c>
    </row>
    <row r="54" spans="1:7" ht="20.399999999999999" x14ac:dyDescent="0.3">
      <c r="A54" s="24" t="s">
        <v>83</v>
      </c>
      <c r="B54" s="25" t="s">
        <v>84</v>
      </c>
      <c r="C54" s="25" t="s">
        <v>84</v>
      </c>
      <c r="D54" s="25" t="s">
        <v>85</v>
      </c>
      <c r="E54" s="25" t="s">
        <v>85</v>
      </c>
    </row>
    <row r="55" spans="1:7" x14ac:dyDescent="0.3">
      <c r="A55" s="24"/>
      <c r="B55" s="25" t="s">
        <v>86</v>
      </c>
      <c r="C55" s="25" t="s">
        <v>87</v>
      </c>
      <c r="D55" s="25" t="s">
        <v>87</v>
      </c>
      <c r="E55" s="25" t="s">
        <v>86</v>
      </c>
      <c r="F55">
        <v>2020</v>
      </c>
      <c r="G55">
        <v>2021</v>
      </c>
    </row>
    <row r="56" spans="1:7" ht="20.399999999999999" x14ac:dyDescent="0.3">
      <c r="A56" s="24" t="s">
        <v>88</v>
      </c>
      <c r="B56" s="25">
        <v>40</v>
      </c>
      <c r="C56" s="25">
        <v>68.900000000000006</v>
      </c>
      <c r="D56" s="25">
        <v>90</v>
      </c>
      <c r="E56" s="25">
        <v>100</v>
      </c>
      <c r="F56">
        <f>(C56/100)/D56</f>
        <v>7.6555555555555561E-3</v>
      </c>
      <c r="G56">
        <f>(B56/100)/E56</f>
        <v>4.0000000000000001E-3</v>
      </c>
    </row>
    <row r="57" spans="1:7" ht="20.399999999999999" x14ac:dyDescent="0.3">
      <c r="A57" s="24" t="s">
        <v>89</v>
      </c>
      <c r="B57" s="25">
        <v>20</v>
      </c>
      <c r="C57" s="25">
        <v>16.7</v>
      </c>
      <c r="D57" s="25">
        <v>50</v>
      </c>
      <c r="E57" s="25">
        <v>56</v>
      </c>
      <c r="F57">
        <f t="shared" ref="F57:F58" si="3">(C57/100)/D57</f>
        <v>3.3399999999999997E-3</v>
      </c>
      <c r="G57">
        <f t="shared" ref="G57:G58" si="4">(B57/100)/E57</f>
        <v>3.5714285714285718E-3</v>
      </c>
    </row>
    <row r="58" spans="1:7" ht="20.399999999999999" x14ac:dyDescent="0.3">
      <c r="A58" s="24" t="s">
        <v>90</v>
      </c>
      <c r="B58" s="25">
        <v>40</v>
      </c>
      <c r="C58" s="25">
        <v>14.4</v>
      </c>
      <c r="D58" s="25">
        <v>42</v>
      </c>
      <c r="E58" s="25">
        <v>45</v>
      </c>
      <c r="F58">
        <f t="shared" si="3"/>
        <v>3.4285714285714288E-3</v>
      </c>
      <c r="G58">
        <f t="shared" si="4"/>
        <v>8.8888888888888889E-3</v>
      </c>
    </row>
    <row r="59" spans="1:7" x14ac:dyDescent="0.3">
      <c r="A59" s="24" t="s">
        <v>8</v>
      </c>
      <c r="B59" s="25">
        <v>100</v>
      </c>
      <c r="C59" s="25">
        <v>100</v>
      </c>
      <c r="D59" s="24"/>
      <c r="E59" s="24"/>
      <c r="F59">
        <f>SUM(F56:F58)</f>
        <v>1.4424126984126984E-2</v>
      </c>
      <c r="G59">
        <f>SUM(G56:G58)</f>
        <v>1.646031746031746E-2</v>
      </c>
    </row>
    <row r="61" spans="1:7" x14ac:dyDescent="0.3">
      <c r="A61" s="24" t="s">
        <v>134</v>
      </c>
      <c r="B61">
        <f>1/F59</f>
        <v>69.32828594066379</v>
      </c>
    </row>
    <row r="62" spans="1:7" x14ac:dyDescent="0.3">
      <c r="A62" s="24" t="s">
        <v>209</v>
      </c>
      <c r="B62">
        <f>1/G59</f>
        <v>60.752169720347155</v>
      </c>
    </row>
    <row r="63" spans="1:7" x14ac:dyDescent="0.3">
      <c r="A63" s="24" t="s">
        <v>205</v>
      </c>
      <c r="B63">
        <f>B62/B61</f>
        <v>0.87629701060752174</v>
      </c>
      <c r="C63" s="49" t="s">
        <v>211</v>
      </c>
      <c r="D63">
        <f>100-87.6</f>
        <v>12.400000000000006</v>
      </c>
    </row>
    <row r="67" spans="1:9" x14ac:dyDescent="0.3">
      <c r="E67" s="51" t="s">
        <v>155</v>
      </c>
    </row>
    <row r="68" spans="1:9" x14ac:dyDescent="0.3">
      <c r="A68" s="50"/>
      <c r="B68" s="51" t="s">
        <v>154</v>
      </c>
      <c r="C68" s="51" t="s">
        <v>154</v>
      </c>
      <c r="D68" s="51" t="s">
        <v>155</v>
      </c>
    </row>
    <row r="69" spans="1:9" x14ac:dyDescent="0.3">
      <c r="A69" s="50" t="s">
        <v>156</v>
      </c>
      <c r="B69" s="51" t="s">
        <v>157</v>
      </c>
      <c r="C69" s="51" t="s">
        <v>158</v>
      </c>
      <c r="D69" s="51" t="s">
        <v>157</v>
      </c>
      <c r="E69" s="51" t="s">
        <v>158</v>
      </c>
      <c r="F69" s="51" t="s">
        <v>212</v>
      </c>
      <c r="G69" s="51" t="s">
        <v>213</v>
      </c>
      <c r="H69" s="51" t="s">
        <v>214</v>
      </c>
      <c r="I69" s="51" t="s">
        <v>215</v>
      </c>
    </row>
    <row r="70" spans="1:9" x14ac:dyDescent="0.3">
      <c r="A70" s="50" t="s">
        <v>159</v>
      </c>
      <c r="B70" s="51">
        <v>10</v>
      </c>
      <c r="C70" s="51">
        <v>80</v>
      </c>
      <c r="D70" s="51">
        <v>8</v>
      </c>
      <c r="E70" s="51">
        <v>200</v>
      </c>
      <c r="F70">
        <f>C70*B70</f>
        <v>800</v>
      </c>
      <c r="G70">
        <f>E70*D70</f>
        <v>1600</v>
      </c>
      <c r="H70">
        <f>C70*D70</f>
        <v>640</v>
      </c>
      <c r="I70">
        <f>B70*E70</f>
        <v>2000</v>
      </c>
    </row>
    <row r="71" spans="1:9" x14ac:dyDescent="0.3">
      <c r="A71" s="50" t="s">
        <v>160</v>
      </c>
      <c r="B71" s="51">
        <v>16</v>
      </c>
      <c r="C71" s="51">
        <v>70</v>
      </c>
      <c r="D71" s="51">
        <v>17</v>
      </c>
      <c r="E71" s="51">
        <v>300</v>
      </c>
      <c r="F71">
        <f t="shared" ref="F71:F72" si="5">C71*B71</f>
        <v>1120</v>
      </c>
      <c r="G71">
        <f t="shared" ref="G71:G72" si="6">E71*D71</f>
        <v>5100</v>
      </c>
      <c r="H71">
        <f t="shared" ref="H71:H72" si="7">C71*D71</f>
        <v>1190</v>
      </c>
      <c r="I71">
        <f t="shared" ref="I71:I72" si="8">B71*E71</f>
        <v>4800</v>
      </c>
    </row>
    <row r="72" spans="1:9" x14ac:dyDescent="0.3">
      <c r="A72" s="50" t="s">
        <v>161</v>
      </c>
      <c r="B72" s="51">
        <v>18</v>
      </c>
      <c r="C72" s="51">
        <v>50</v>
      </c>
      <c r="D72" s="51">
        <v>20</v>
      </c>
      <c r="E72" s="51">
        <v>500</v>
      </c>
      <c r="F72">
        <f t="shared" si="5"/>
        <v>900</v>
      </c>
      <c r="G72">
        <f t="shared" si="6"/>
        <v>10000</v>
      </c>
      <c r="H72">
        <f t="shared" si="7"/>
        <v>1000</v>
      </c>
      <c r="I72">
        <f t="shared" si="8"/>
        <v>9000</v>
      </c>
    </row>
    <row r="73" spans="1:9" x14ac:dyDescent="0.3">
      <c r="A73" s="50"/>
      <c r="B73" s="50"/>
      <c r="C73" s="51">
        <v>200</v>
      </c>
      <c r="D73" s="50"/>
      <c r="E73" s="51">
        <v>1000</v>
      </c>
      <c r="F73">
        <f>SUM(F70:F72)</f>
        <v>2820</v>
      </c>
      <c r="G73">
        <f t="shared" ref="G73:I73" si="9">SUM(G70:G72)</f>
        <v>16700</v>
      </c>
      <c r="H73">
        <f t="shared" si="9"/>
        <v>2830</v>
      </c>
      <c r="I73">
        <f t="shared" si="9"/>
        <v>15800</v>
      </c>
    </row>
    <row r="76" spans="1:9" x14ac:dyDescent="0.3">
      <c r="A76" t="s">
        <v>216</v>
      </c>
      <c r="B76">
        <f>F73/C73</f>
        <v>14.1</v>
      </c>
    </row>
    <row r="77" spans="1:9" x14ac:dyDescent="0.3">
      <c r="A77" t="s">
        <v>217</v>
      </c>
      <c r="B77">
        <f>G73/E73</f>
        <v>16.7</v>
      </c>
    </row>
    <row r="83" spans="1:7" ht="20.399999999999999" x14ac:dyDescent="0.3">
      <c r="A83" s="41" t="s">
        <v>189</v>
      </c>
      <c r="B83" s="25" t="s">
        <v>39</v>
      </c>
      <c r="C83" s="25" t="s">
        <v>39</v>
      </c>
      <c r="D83" s="25" t="s">
        <v>42</v>
      </c>
    </row>
    <row r="84" spans="1:7" ht="20.399999999999999" x14ac:dyDescent="0.3">
      <c r="A84" s="41"/>
      <c r="B84" s="25" t="s">
        <v>40</v>
      </c>
      <c r="C84" s="25" t="s">
        <v>41</v>
      </c>
      <c r="D84" s="25" t="s">
        <v>43</v>
      </c>
      <c r="E84" s="25" t="s">
        <v>49</v>
      </c>
      <c r="F84" s="25" t="s">
        <v>48</v>
      </c>
      <c r="G84" s="25" t="s">
        <v>50</v>
      </c>
    </row>
    <row r="85" spans="1:7" x14ac:dyDescent="0.3">
      <c r="A85" s="24" t="s">
        <v>44</v>
      </c>
      <c r="B85" s="25">
        <v>15.6</v>
      </c>
      <c r="C85" s="25">
        <v>21.95</v>
      </c>
      <c r="D85" s="25">
        <v>115.07</v>
      </c>
      <c r="E85">
        <f>C85/1.1507</f>
        <v>19.075345441904926</v>
      </c>
      <c r="F85">
        <f>B85*1.1507</f>
        <v>17.95092</v>
      </c>
      <c r="G85">
        <f>(C85/B85)/1.1507</f>
        <v>1.2227785539682645</v>
      </c>
    </row>
    <row r="86" spans="1:7" x14ac:dyDescent="0.3">
      <c r="A86" s="24" t="s">
        <v>45</v>
      </c>
      <c r="B86" s="25">
        <v>25.33</v>
      </c>
      <c r="C86" s="25">
        <v>24.93</v>
      </c>
      <c r="D86" s="25">
        <v>84.35</v>
      </c>
      <c r="E86">
        <f>C86/0.8435</f>
        <v>29.555423829282748</v>
      </c>
      <c r="F86">
        <f>B86*0.8435</f>
        <v>21.365855</v>
      </c>
      <c r="G86">
        <f>(C86/B86)/0.8435</f>
        <v>1.1668149952342184</v>
      </c>
    </row>
    <row r="87" spans="1:7" x14ac:dyDescent="0.3">
      <c r="A87" s="24" t="s">
        <v>46</v>
      </c>
      <c r="B87" s="25">
        <v>17.920000000000002</v>
      </c>
      <c r="C87" s="25">
        <v>17.22</v>
      </c>
      <c r="D87" s="25">
        <v>115.35</v>
      </c>
      <c r="E87">
        <f>C87/1.1535</f>
        <v>14.928478543563068</v>
      </c>
      <c r="F87">
        <f>B87*1.1535</f>
        <v>20.670720000000003</v>
      </c>
      <c r="G87">
        <f>(C87/B87)/1.1535</f>
        <v>0.83306241872561759</v>
      </c>
    </row>
    <row r="89" spans="1:7" x14ac:dyDescent="0.3">
      <c r="B89">
        <f>SUM(B85:B87)</f>
        <v>58.85</v>
      </c>
      <c r="C89">
        <f>SUM(C85:C87)</f>
        <v>64.099999999999994</v>
      </c>
      <c r="E89">
        <f>SUM(E85:E87)</f>
        <v>63.559247814750741</v>
      </c>
      <c r="F89">
        <f>SUM(F85:F87)</f>
        <v>59.987495000000003</v>
      </c>
    </row>
    <row r="92" spans="1:7" x14ac:dyDescent="0.3">
      <c r="A92">
        <v>1.1599999999999999</v>
      </c>
    </row>
    <row r="93" spans="1:7" x14ac:dyDescent="0.3">
      <c r="A93">
        <f>C89-B89</f>
        <v>5.2499999999999929</v>
      </c>
    </row>
    <row r="94" spans="1:7" x14ac:dyDescent="0.3">
      <c r="A94">
        <f>C89-F89</f>
        <v>4.1125049999999916</v>
      </c>
    </row>
    <row r="95" spans="1:7" x14ac:dyDescent="0.3">
      <c r="A95">
        <f>(B87-C87)*1000</f>
        <v>700.00000000000284</v>
      </c>
    </row>
    <row r="98" spans="1:12" x14ac:dyDescent="0.3">
      <c r="A98" s="50"/>
      <c r="B98" s="51" t="s">
        <v>218</v>
      </c>
      <c r="C98" s="51" t="s">
        <v>218</v>
      </c>
      <c r="D98" s="51" t="s">
        <v>219</v>
      </c>
      <c r="E98" s="51" t="s">
        <v>219</v>
      </c>
    </row>
    <row r="99" spans="1:12" x14ac:dyDescent="0.3">
      <c r="A99" s="52" t="s">
        <v>220</v>
      </c>
      <c r="B99" s="51" t="s">
        <v>221</v>
      </c>
      <c r="C99" s="51" t="s">
        <v>223</v>
      </c>
      <c r="D99" s="51" t="s">
        <v>221</v>
      </c>
      <c r="E99" s="51" t="s">
        <v>223</v>
      </c>
      <c r="F99" s="51" t="s">
        <v>228</v>
      </c>
      <c r="G99" s="51" t="s">
        <v>229</v>
      </c>
      <c r="H99" s="51" t="s">
        <v>230</v>
      </c>
      <c r="I99" s="51" t="s">
        <v>231</v>
      </c>
    </row>
    <row r="100" spans="1:12" ht="20.399999999999999" x14ac:dyDescent="0.3">
      <c r="A100" s="52"/>
      <c r="B100" s="51" t="s">
        <v>222</v>
      </c>
      <c r="C100" s="51" t="s">
        <v>84</v>
      </c>
      <c r="D100" s="51" t="s">
        <v>222</v>
      </c>
      <c r="E100" s="51" t="s">
        <v>84</v>
      </c>
    </row>
    <row r="101" spans="1:12" x14ac:dyDescent="0.3">
      <c r="A101" s="50" t="s">
        <v>224</v>
      </c>
      <c r="B101" s="51">
        <v>10</v>
      </c>
      <c r="C101" s="51">
        <v>40</v>
      </c>
      <c r="D101" s="51">
        <v>8</v>
      </c>
      <c r="E101" s="51">
        <v>20</v>
      </c>
      <c r="F101">
        <f>B101*C101</f>
        <v>400</v>
      </c>
      <c r="G101">
        <f>D101*E101</f>
        <v>160</v>
      </c>
      <c r="H101">
        <f>B101*E101</f>
        <v>200</v>
      </c>
      <c r="I101">
        <f>C101*D101</f>
        <v>320</v>
      </c>
    </row>
    <row r="102" spans="1:12" x14ac:dyDescent="0.3">
      <c r="A102" s="50" t="s">
        <v>225</v>
      </c>
      <c r="B102" s="51">
        <v>16</v>
      </c>
      <c r="C102" s="51">
        <v>35</v>
      </c>
      <c r="D102" s="51">
        <v>17</v>
      </c>
      <c r="E102" s="51">
        <v>30</v>
      </c>
      <c r="F102">
        <f t="shared" ref="F102:F103" si="10">B102*C102</f>
        <v>560</v>
      </c>
      <c r="G102">
        <f t="shared" ref="G102:G103" si="11">D102*E102</f>
        <v>510</v>
      </c>
      <c r="H102">
        <f t="shared" ref="H102:H103" si="12">B102*E102</f>
        <v>480</v>
      </c>
      <c r="I102">
        <f t="shared" ref="I102:I103" si="13">C102*D102</f>
        <v>595</v>
      </c>
    </row>
    <row r="103" spans="1:12" x14ac:dyDescent="0.3">
      <c r="A103" s="50" t="s">
        <v>226</v>
      </c>
      <c r="B103" s="51">
        <v>18</v>
      </c>
      <c r="C103" s="51">
        <v>25</v>
      </c>
      <c r="D103" s="51">
        <v>20</v>
      </c>
      <c r="E103" s="51">
        <v>50</v>
      </c>
      <c r="F103">
        <f t="shared" si="10"/>
        <v>450</v>
      </c>
      <c r="G103">
        <f t="shared" si="11"/>
        <v>1000</v>
      </c>
      <c r="H103">
        <f t="shared" si="12"/>
        <v>900</v>
      </c>
      <c r="I103">
        <f t="shared" si="13"/>
        <v>500</v>
      </c>
    </row>
    <row r="104" spans="1:12" x14ac:dyDescent="0.3">
      <c r="A104" s="50" t="s">
        <v>227</v>
      </c>
      <c r="B104" s="50"/>
      <c r="C104" s="51">
        <v>100</v>
      </c>
      <c r="D104" s="50"/>
      <c r="E104" s="51">
        <v>100</v>
      </c>
      <c r="F104">
        <f>SUM(F101:F103)</f>
        <v>1410</v>
      </c>
      <c r="G104">
        <f t="shared" ref="G104:I104" si="14">SUM(G101:G103)</f>
        <v>1670</v>
      </c>
      <c r="H104">
        <f t="shared" si="14"/>
        <v>1580</v>
      </c>
      <c r="I104">
        <f t="shared" si="14"/>
        <v>1415</v>
      </c>
    </row>
    <row r="108" spans="1:12" x14ac:dyDescent="0.3">
      <c r="A108" t="s">
        <v>232</v>
      </c>
      <c r="C108">
        <f>1410/100</f>
        <v>14.1</v>
      </c>
    </row>
    <row r="109" spans="1:12" x14ac:dyDescent="0.3">
      <c r="L109">
        <f>C104/F104</f>
        <v>7.0921985815602842E-2</v>
      </c>
    </row>
    <row r="110" spans="1:12" x14ac:dyDescent="0.3">
      <c r="A110" t="s">
        <v>233</v>
      </c>
      <c r="C110">
        <v>16.7</v>
      </c>
    </row>
    <row r="116" spans="1:8" x14ac:dyDescent="0.3">
      <c r="A116" s="24" t="s">
        <v>143</v>
      </c>
      <c r="B116" s="31" t="s">
        <v>144</v>
      </c>
      <c r="C116" s="24" t="s">
        <v>145</v>
      </c>
      <c r="D116" s="31" t="s">
        <v>146</v>
      </c>
      <c r="E116" s="24" t="s">
        <v>145</v>
      </c>
    </row>
    <row r="117" spans="1:8" x14ac:dyDescent="0.3">
      <c r="A117" s="41"/>
      <c r="B117" s="25" t="s">
        <v>147</v>
      </c>
      <c r="C117" s="25" t="s">
        <v>149</v>
      </c>
      <c r="D117" s="25" t="s">
        <v>147</v>
      </c>
      <c r="E117" s="25" t="s">
        <v>149</v>
      </c>
    </row>
    <row r="118" spans="1:8" ht="20.399999999999999" x14ac:dyDescent="0.3">
      <c r="A118" s="41"/>
      <c r="B118" s="25" t="s">
        <v>148</v>
      </c>
      <c r="C118" s="25" t="s">
        <v>150</v>
      </c>
      <c r="D118" s="25" t="s">
        <v>148</v>
      </c>
      <c r="E118" s="25" t="s">
        <v>150</v>
      </c>
    </row>
    <row r="119" spans="1:8" ht="20.399999999999999" x14ac:dyDescent="0.3">
      <c r="A119" s="24" t="s">
        <v>151</v>
      </c>
      <c r="B119" s="25">
        <v>22</v>
      </c>
      <c r="C119" s="25">
        <v>2360</v>
      </c>
      <c r="D119" s="25">
        <v>17</v>
      </c>
      <c r="E119" s="25">
        <v>2144</v>
      </c>
      <c r="F119">
        <f>C119/B119</f>
        <v>107.27272727272727</v>
      </c>
      <c r="H119">
        <f>F119*D119</f>
        <v>1823.6363636363635</v>
      </c>
    </row>
    <row r="120" spans="1:8" ht="20.399999999999999" x14ac:dyDescent="0.3">
      <c r="A120" s="24" t="s">
        <v>152</v>
      </c>
      <c r="B120" s="25">
        <v>41</v>
      </c>
      <c r="C120" s="25">
        <v>3984</v>
      </c>
      <c r="D120" s="25">
        <v>40</v>
      </c>
      <c r="E120" s="25">
        <v>4578</v>
      </c>
      <c r="F120">
        <f t="shared" ref="F120:F121" si="15">C120/B120</f>
        <v>97.170731707317074</v>
      </c>
      <c r="H120">
        <f t="shared" ref="H120:H121" si="16">F120*D120</f>
        <v>3886.8292682926831</v>
      </c>
    </row>
    <row r="121" spans="1:8" ht="20.399999999999999" x14ac:dyDescent="0.3">
      <c r="A121" s="24" t="s">
        <v>153</v>
      </c>
      <c r="B121" s="25">
        <v>50</v>
      </c>
      <c r="C121" s="25">
        <v>4100</v>
      </c>
      <c r="D121" s="25">
        <v>60</v>
      </c>
      <c r="E121" s="25">
        <v>5850</v>
      </c>
      <c r="F121">
        <f t="shared" si="15"/>
        <v>82</v>
      </c>
      <c r="H121">
        <f t="shared" si="16"/>
        <v>4920</v>
      </c>
    </row>
    <row r="122" spans="1:8" x14ac:dyDescent="0.3">
      <c r="A122" s="24" t="s">
        <v>8</v>
      </c>
      <c r="B122" s="25">
        <v>113</v>
      </c>
      <c r="C122" s="25">
        <v>10444</v>
      </c>
      <c r="D122" s="25">
        <v>117</v>
      </c>
      <c r="E122" s="25">
        <v>12572</v>
      </c>
      <c r="H122">
        <f>SUM(H119:H121)</f>
        <v>10630.465631929046</v>
      </c>
    </row>
    <row r="126" spans="1:8" x14ac:dyDescent="0.3">
      <c r="A126" t="s">
        <v>234</v>
      </c>
      <c r="B126">
        <f>((E122/D122)/(C122/B122))*100</f>
        <v>116.2599390481428</v>
      </c>
    </row>
    <row r="127" spans="1:8" x14ac:dyDescent="0.3">
      <c r="A127" t="s">
        <v>208</v>
      </c>
      <c r="B127">
        <f>(E122/H122)*100</f>
        <v>118.26386947942784</v>
      </c>
    </row>
    <row r="128" spans="1:8" x14ac:dyDescent="0.3">
      <c r="A128" t="s">
        <v>208</v>
      </c>
      <c r="B128">
        <f>B126/B127</f>
        <v>0.98305542986115779</v>
      </c>
    </row>
    <row r="133" spans="1:9" x14ac:dyDescent="0.3">
      <c r="A133" s="50"/>
      <c r="B133" s="51" t="s">
        <v>218</v>
      </c>
      <c r="C133" s="51" t="s">
        <v>218</v>
      </c>
      <c r="D133" s="51" t="s">
        <v>219</v>
      </c>
      <c r="E133" s="51" t="s">
        <v>219</v>
      </c>
    </row>
    <row r="134" spans="1:9" x14ac:dyDescent="0.3">
      <c r="A134" s="52" t="s">
        <v>220</v>
      </c>
      <c r="B134" s="51" t="s">
        <v>221</v>
      </c>
      <c r="C134" s="51" t="s">
        <v>223</v>
      </c>
      <c r="D134" s="51" t="s">
        <v>221</v>
      </c>
      <c r="E134" s="51" t="s">
        <v>223</v>
      </c>
    </row>
    <row r="135" spans="1:9" ht="20.399999999999999" x14ac:dyDescent="0.3">
      <c r="A135" s="52"/>
      <c r="B135" s="51" t="s">
        <v>222</v>
      </c>
      <c r="C135" s="51" t="s">
        <v>84</v>
      </c>
      <c r="D135" s="51" t="s">
        <v>222</v>
      </c>
      <c r="E135" s="51" t="s">
        <v>84</v>
      </c>
      <c r="F135" s="51" t="s">
        <v>228</v>
      </c>
      <c r="G135" s="51" t="s">
        <v>229</v>
      </c>
      <c r="H135" s="51" t="s">
        <v>230</v>
      </c>
      <c r="I135" s="51" t="s">
        <v>231</v>
      </c>
    </row>
    <row r="136" spans="1:9" x14ac:dyDescent="0.3">
      <c r="A136" s="50" t="s">
        <v>224</v>
      </c>
      <c r="B136" s="51">
        <v>10</v>
      </c>
      <c r="C136" s="51">
        <v>40</v>
      </c>
      <c r="D136" s="51">
        <v>8</v>
      </c>
      <c r="E136" s="51">
        <v>20</v>
      </c>
      <c r="F136">
        <f>B136*C136</f>
        <v>400</v>
      </c>
      <c r="G136">
        <f>D136*E136</f>
        <v>160</v>
      </c>
      <c r="H136">
        <f>B136*E136</f>
        <v>200</v>
      </c>
      <c r="I136">
        <f>C136*D136</f>
        <v>320</v>
      </c>
    </row>
    <row r="137" spans="1:9" x14ac:dyDescent="0.3">
      <c r="A137" s="50" t="s">
        <v>225</v>
      </c>
      <c r="B137" s="51">
        <v>16</v>
      </c>
      <c r="C137" s="51">
        <v>35</v>
      </c>
      <c r="D137" s="51">
        <v>17</v>
      </c>
      <c r="E137" s="51">
        <v>30</v>
      </c>
      <c r="F137">
        <f t="shared" ref="F137:F138" si="17">B137*C137</f>
        <v>560</v>
      </c>
      <c r="G137">
        <f t="shared" ref="G137:G138" si="18">D137*E137</f>
        <v>510</v>
      </c>
      <c r="H137">
        <f t="shared" ref="H137:H138" si="19">B137*E137</f>
        <v>480</v>
      </c>
      <c r="I137">
        <f t="shared" ref="I137:I138" si="20">C137*D137</f>
        <v>595</v>
      </c>
    </row>
    <row r="138" spans="1:9" x14ac:dyDescent="0.3">
      <c r="A138" s="50" t="s">
        <v>226</v>
      </c>
      <c r="B138" s="51">
        <v>18</v>
      </c>
      <c r="C138" s="51">
        <v>25</v>
      </c>
      <c r="D138" s="51">
        <v>20</v>
      </c>
      <c r="E138" s="51">
        <v>50</v>
      </c>
      <c r="F138">
        <f t="shared" si="17"/>
        <v>450</v>
      </c>
      <c r="G138">
        <f t="shared" si="18"/>
        <v>1000</v>
      </c>
      <c r="H138">
        <f t="shared" si="19"/>
        <v>900</v>
      </c>
      <c r="I138">
        <f t="shared" si="20"/>
        <v>500</v>
      </c>
    </row>
    <row r="139" spans="1:9" x14ac:dyDescent="0.3">
      <c r="A139" s="50" t="s">
        <v>227</v>
      </c>
      <c r="B139" s="50"/>
      <c r="C139" s="51">
        <v>100</v>
      </c>
      <c r="D139" s="50"/>
      <c r="E139" s="51">
        <v>100</v>
      </c>
      <c r="F139">
        <f>SUM(F136:F138)</f>
        <v>1410</v>
      </c>
      <c r="G139">
        <f t="shared" ref="G139:H139" si="21">SUM(G136:G138)</f>
        <v>1670</v>
      </c>
      <c r="H139">
        <f t="shared" si="21"/>
        <v>1580</v>
      </c>
      <c r="I139">
        <f>SUM(I136:I138)</f>
        <v>1415</v>
      </c>
    </row>
    <row r="142" spans="1:9" x14ac:dyDescent="0.3">
      <c r="A142" s="50" t="s">
        <v>235</v>
      </c>
      <c r="B142">
        <v>14.1</v>
      </c>
    </row>
    <row r="143" spans="1:9" x14ac:dyDescent="0.3">
      <c r="A143" s="50" t="s">
        <v>236</v>
      </c>
      <c r="B143">
        <v>16.7</v>
      </c>
    </row>
    <row r="144" spans="1:9" x14ac:dyDescent="0.3">
      <c r="A144" s="50" t="s">
        <v>237</v>
      </c>
      <c r="B144">
        <v>2600</v>
      </c>
    </row>
  </sheetData>
  <mergeCells count="5">
    <mergeCell ref="A40:A41"/>
    <mergeCell ref="A83:A84"/>
    <mergeCell ref="A99:A100"/>
    <mergeCell ref="A117:A118"/>
    <mergeCell ref="A134:A1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A8F6-4C67-4564-9A56-4B9930DCC146}">
  <dimension ref="A1:H113"/>
  <sheetViews>
    <sheetView tabSelected="1" topLeftCell="A98" workbookViewId="0">
      <selection activeCell="G106" sqref="G106"/>
    </sheetView>
  </sheetViews>
  <sheetFormatPr defaultRowHeight="15.6" x14ac:dyDescent="0.3"/>
  <cols>
    <col min="1" max="1" width="12.59765625" bestFit="1" customWidth="1"/>
    <col min="5" max="6" width="11.8984375" bestFit="1" customWidth="1"/>
    <col min="7" max="7" width="9.8984375" bestFit="1" customWidth="1"/>
  </cols>
  <sheetData>
    <row r="1" spans="1:8" x14ac:dyDescent="0.3">
      <c r="A1" s="24" t="s">
        <v>143</v>
      </c>
      <c r="B1" s="31" t="s">
        <v>144</v>
      </c>
      <c r="C1" s="24" t="s">
        <v>145</v>
      </c>
      <c r="D1" s="31" t="s">
        <v>146</v>
      </c>
      <c r="E1" s="24" t="s">
        <v>145</v>
      </c>
    </row>
    <row r="2" spans="1:8" x14ac:dyDescent="0.3">
      <c r="A2" s="41"/>
      <c r="B2" s="25" t="s">
        <v>147</v>
      </c>
      <c r="C2" s="25" t="s">
        <v>149</v>
      </c>
      <c r="D2" s="25" t="s">
        <v>147</v>
      </c>
      <c r="E2" s="25" t="s">
        <v>149</v>
      </c>
    </row>
    <row r="3" spans="1:8" ht="20.399999999999999" x14ac:dyDescent="0.3">
      <c r="A3" s="41"/>
      <c r="B3" s="25" t="s">
        <v>148</v>
      </c>
      <c r="C3" s="25" t="s">
        <v>150</v>
      </c>
      <c r="D3" s="25" t="s">
        <v>148</v>
      </c>
      <c r="E3" s="25" t="s">
        <v>150</v>
      </c>
    </row>
    <row r="4" spans="1:8" ht="20.399999999999999" x14ac:dyDescent="0.3">
      <c r="A4" s="24" t="s">
        <v>151</v>
      </c>
      <c r="B4" s="25">
        <v>22</v>
      </c>
      <c r="C4" s="25">
        <v>2360</v>
      </c>
      <c r="D4" s="25">
        <v>17</v>
      </c>
      <c r="E4" s="25">
        <v>2144</v>
      </c>
      <c r="F4">
        <f>C4/B4</f>
        <v>107.27272727272727</v>
      </c>
      <c r="H4">
        <f>D4*F4</f>
        <v>1823.6363636363635</v>
      </c>
    </row>
    <row r="5" spans="1:8" ht="20.399999999999999" x14ac:dyDescent="0.3">
      <c r="A5" s="24" t="s">
        <v>152</v>
      </c>
      <c r="B5" s="25">
        <v>41</v>
      </c>
      <c r="C5" s="25">
        <v>3984</v>
      </c>
      <c r="D5" s="25">
        <v>40</v>
      </c>
      <c r="E5" s="25">
        <v>4578</v>
      </c>
      <c r="F5">
        <f t="shared" ref="F5:F6" si="0">C5/B5</f>
        <v>97.170731707317074</v>
      </c>
      <c r="H5">
        <f t="shared" ref="H5:H6" si="1">D5*F5</f>
        <v>3886.8292682926831</v>
      </c>
    </row>
    <row r="6" spans="1:8" ht="20.399999999999999" x14ac:dyDescent="0.3">
      <c r="A6" s="24" t="s">
        <v>153</v>
      </c>
      <c r="B6" s="25">
        <v>50</v>
      </c>
      <c r="C6" s="25">
        <v>4100</v>
      </c>
      <c r="D6" s="25">
        <v>60</v>
      </c>
      <c r="E6" s="25">
        <v>5850</v>
      </c>
      <c r="F6">
        <f t="shared" si="0"/>
        <v>82</v>
      </c>
      <c r="H6">
        <f t="shared" si="1"/>
        <v>4920</v>
      </c>
    </row>
    <row r="7" spans="1:8" x14ac:dyDescent="0.3">
      <c r="A7" s="24" t="s">
        <v>8</v>
      </c>
      <c r="B7" s="25">
        <v>113</v>
      </c>
      <c r="C7" s="25">
        <v>10444</v>
      </c>
      <c r="D7" s="25">
        <v>117</v>
      </c>
      <c r="E7" s="25">
        <v>12572</v>
      </c>
      <c r="F7">
        <f>SUM(F4:F6)</f>
        <v>286.44345898004434</v>
      </c>
      <c r="H7">
        <f t="shared" ref="G7:H7" si="2">SUM(H4:H6)</f>
        <v>10630.465631929046</v>
      </c>
    </row>
    <row r="10" spans="1:8" x14ac:dyDescent="0.3">
      <c r="A10" s="24" t="s">
        <v>205</v>
      </c>
      <c r="B10">
        <f>((E7/D7)/(C7/B7))*100</f>
        <v>116.2599390481428</v>
      </c>
    </row>
    <row r="11" spans="1:8" x14ac:dyDescent="0.3">
      <c r="A11" s="24" t="s">
        <v>207</v>
      </c>
      <c r="B11">
        <f>(E7/H7)*100</f>
        <v>118.26386947942784</v>
      </c>
    </row>
    <row r="12" spans="1:8" x14ac:dyDescent="0.3">
      <c r="A12" s="24" t="s">
        <v>208</v>
      </c>
      <c r="B12">
        <f>B10/B11</f>
        <v>0.98305542986115779</v>
      </c>
    </row>
    <row r="15" spans="1:8" ht="16.2" thickBot="1" x14ac:dyDescent="0.35"/>
    <row r="16" spans="1:8" ht="20.399999999999999" x14ac:dyDescent="0.3">
      <c r="A16" s="58" t="s">
        <v>37</v>
      </c>
      <c r="B16" s="53" t="s">
        <v>238</v>
      </c>
      <c r="C16" s="53" t="s">
        <v>240</v>
      </c>
      <c r="D16" s="53" t="s">
        <v>241</v>
      </c>
    </row>
    <row r="17" spans="1:7" ht="31.2" thickBot="1" x14ac:dyDescent="0.35">
      <c r="A17" s="59"/>
      <c r="B17" s="54" t="s">
        <v>239</v>
      </c>
      <c r="C17" s="54" t="s">
        <v>239</v>
      </c>
      <c r="D17" s="54" t="s">
        <v>242</v>
      </c>
      <c r="E17" s="60" t="s">
        <v>48</v>
      </c>
      <c r="F17" s="60" t="s">
        <v>49</v>
      </c>
    </row>
    <row r="18" spans="1:7" ht="16.2" thickBot="1" x14ac:dyDescent="0.35">
      <c r="A18" s="55" t="s">
        <v>243</v>
      </c>
      <c r="B18" s="56">
        <v>7199952</v>
      </c>
      <c r="C18" s="56">
        <v>9879924</v>
      </c>
      <c r="D18" s="57">
        <v>86.67</v>
      </c>
      <c r="E18">
        <f>C18/0.8667</f>
        <v>11399473.866389753</v>
      </c>
      <c r="F18">
        <f>B18*0.8667</f>
        <v>6240198.3984000003</v>
      </c>
    </row>
    <row r="19" spans="1:7" ht="16.2" thickBot="1" x14ac:dyDescent="0.35">
      <c r="A19" s="55" t="s">
        <v>244</v>
      </c>
      <c r="B19" s="56">
        <v>1199988</v>
      </c>
      <c r="C19" s="56">
        <v>2959963</v>
      </c>
      <c r="D19" s="57">
        <v>80</v>
      </c>
      <c r="E19">
        <f>C19/0.8</f>
        <v>3699953.75</v>
      </c>
      <c r="F19">
        <f>B19*0.8</f>
        <v>959990.4</v>
      </c>
    </row>
    <row r="20" spans="1:7" ht="16.2" thickBot="1" x14ac:dyDescent="0.35">
      <c r="A20" s="55" t="s">
        <v>245</v>
      </c>
      <c r="B20" s="56">
        <v>19519878</v>
      </c>
      <c r="C20" s="56">
        <v>30365759</v>
      </c>
      <c r="D20" s="57">
        <v>78.75</v>
      </c>
      <c r="E20">
        <f>C20/0.7875</f>
        <v>38559693.96825397</v>
      </c>
      <c r="F20">
        <f>B20*0.7875</f>
        <v>15371903.924999999</v>
      </c>
    </row>
    <row r="21" spans="1:7" ht="16.2" thickBot="1" x14ac:dyDescent="0.35">
      <c r="A21" s="55" t="s">
        <v>8</v>
      </c>
      <c r="B21">
        <f t="shared" ref="B21:D21" si="3">SUM(B18:B20)</f>
        <v>27919818</v>
      </c>
      <c r="C21">
        <f t="shared" si="3"/>
        <v>43205646</v>
      </c>
      <c r="E21">
        <f>SUM(E18:E20)</f>
        <v>53659121.584643722</v>
      </c>
      <c r="F21">
        <f>SUM(F18:F20)</f>
        <v>22572092.7234</v>
      </c>
    </row>
    <row r="24" spans="1:7" x14ac:dyDescent="0.3">
      <c r="A24">
        <f>C21/E21</f>
        <v>0.80518735163873201</v>
      </c>
    </row>
    <row r="26" spans="1:7" x14ac:dyDescent="0.3">
      <c r="A26">
        <f>(C20/B20)/0.7875</f>
        <v>1.9754065045003852</v>
      </c>
    </row>
    <row r="31" spans="1:7" ht="20.399999999999999" x14ac:dyDescent="0.3">
      <c r="A31" s="41" t="s">
        <v>38</v>
      </c>
      <c r="B31" s="25" t="s">
        <v>39</v>
      </c>
      <c r="C31" s="25" t="s">
        <v>39</v>
      </c>
      <c r="D31" s="25" t="s">
        <v>42</v>
      </c>
    </row>
    <row r="32" spans="1:7" ht="20.399999999999999" x14ac:dyDescent="0.3">
      <c r="A32" s="41"/>
      <c r="B32" s="25" t="s">
        <v>40</v>
      </c>
      <c r="C32" s="25" t="s">
        <v>41</v>
      </c>
      <c r="D32" s="25" t="s">
        <v>43</v>
      </c>
      <c r="E32" s="25" t="s">
        <v>48</v>
      </c>
      <c r="F32" s="25" t="s">
        <v>49</v>
      </c>
      <c r="G32" s="25" t="s">
        <v>50</v>
      </c>
    </row>
    <row r="33" spans="1:8" x14ac:dyDescent="0.3">
      <c r="A33" s="24" t="s">
        <v>44</v>
      </c>
      <c r="B33" s="25">
        <v>15.6</v>
      </c>
      <c r="C33" s="25">
        <v>21.95</v>
      </c>
      <c r="D33" s="25">
        <v>115.07</v>
      </c>
      <c r="E33">
        <f>C33/1.1507</f>
        <v>19.075345441904926</v>
      </c>
      <c r="F33">
        <f>B33*1.1507</f>
        <v>17.95092</v>
      </c>
      <c r="G33">
        <f>(C33/B33)/1.1507</f>
        <v>1.2227785539682645</v>
      </c>
    </row>
    <row r="34" spans="1:8" x14ac:dyDescent="0.3">
      <c r="A34" s="24" t="s">
        <v>45</v>
      </c>
      <c r="B34" s="25">
        <v>25.33</v>
      </c>
      <c r="C34" s="25">
        <v>24.93</v>
      </c>
      <c r="D34" s="25">
        <v>84.35</v>
      </c>
      <c r="E34">
        <f>C34/0.8435</f>
        <v>29.555423829282748</v>
      </c>
      <c r="F34">
        <f>B34*0.8435</f>
        <v>21.365855</v>
      </c>
      <c r="G34">
        <f>(C34/B34)/0.8435</f>
        <v>1.1668149952342184</v>
      </c>
    </row>
    <row r="35" spans="1:8" x14ac:dyDescent="0.3">
      <c r="A35" s="24" t="s">
        <v>46</v>
      </c>
      <c r="B35" s="25">
        <v>17.920000000000002</v>
      </c>
      <c r="C35" s="25">
        <v>17.22</v>
      </c>
      <c r="D35" s="25">
        <v>115.35</v>
      </c>
      <c r="E35">
        <f>C35/1.1535</f>
        <v>14.928478543563068</v>
      </c>
      <c r="F35">
        <f>B35*1.1535</f>
        <v>20.670720000000003</v>
      </c>
      <c r="G35">
        <f>(C35/B35)/1.1535</f>
        <v>0.83306241872561759</v>
      </c>
    </row>
    <row r="36" spans="1:8" x14ac:dyDescent="0.3">
      <c r="B36">
        <f t="shared" ref="B36:D36" si="4">SUM(B33:B35)</f>
        <v>58.85</v>
      </c>
      <c r="C36">
        <f t="shared" si="4"/>
        <v>64.099999999999994</v>
      </c>
      <c r="E36">
        <f>SUM(E33:E35)</f>
        <v>63.559247814750741</v>
      </c>
      <c r="F36">
        <f>SUM(F33:F35)</f>
        <v>59.987495000000003</v>
      </c>
    </row>
    <row r="39" spans="1:8" x14ac:dyDescent="0.3">
      <c r="A39">
        <f>C36-F36</f>
        <v>4.1125049999999916</v>
      </c>
    </row>
    <row r="40" spans="1:8" x14ac:dyDescent="0.3">
      <c r="A40">
        <f>(C35/B35)*1000</f>
        <v>960.93749999999989</v>
      </c>
    </row>
    <row r="44" spans="1:8" ht="20.399999999999999" x14ac:dyDescent="0.3">
      <c r="A44" s="24" t="s">
        <v>37</v>
      </c>
      <c r="B44" s="31" t="s">
        <v>246</v>
      </c>
      <c r="C44" s="32" t="s">
        <v>247</v>
      </c>
      <c r="D44" s="25" t="s">
        <v>248</v>
      </c>
    </row>
    <row r="45" spans="1:8" ht="20.399999999999999" x14ac:dyDescent="0.3">
      <c r="A45" s="24"/>
      <c r="B45" s="25" t="s">
        <v>249</v>
      </c>
      <c r="C45" s="25" t="s">
        <v>250</v>
      </c>
      <c r="D45" s="25" t="s">
        <v>251</v>
      </c>
      <c r="E45" s="25" t="s">
        <v>47</v>
      </c>
      <c r="F45" s="25" t="s">
        <v>48</v>
      </c>
      <c r="G45" s="25" t="s">
        <v>49</v>
      </c>
      <c r="H45" s="25" t="s">
        <v>121</v>
      </c>
    </row>
    <row r="46" spans="1:8" x14ac:dyDescent="0.3">
      <c r="A46" s="24" t="s">
        <v>252</v>
      </c>
      <c r="B46" s="25">
        <v>160.1</v>
      </c>
      <c r="C46" s="25">
        <v>140.69999999999999</v>
      </c>
      <c r="D46" s="25">
        <v>110.9</v>
      </c>
      <c r="E46" s="25">
        <v>1.109</v>
      </c>
      <c r="F46">
        <f>C46/E46</f>
        <v>126.87105500450856</v>
      </c>
      <c r="G46">
        <f>B46*E46</f>
        <v>177.55089999999998</v>
      </c>
    </row>
    <row r="47" spans="1:8" ht="20.399999999999999" x14ac:dyDescent="0.3">
      <c r="A47" s="24" t="s">
        <v>253</v>
      </c>
      <c r="B47" s="25">
        <v>220.5</v>
      </c>
      <c r="C47" s="25">
        <v>243.8</v>
      </c>
      <c r="D47" s="25">
        <v>111.8</v>
      </c>
      <c r="E47" s="25">
        <v>1.1180000000000001</v>
      </c>
      <c r="F47">
        <f t="shared" ref="F47:F48" si="5">C47/E47</f>
        <v>218.06797853309479</v>
      </c>
      <c r="G47">
        <f t="shared" ref="G47:G48" si="6">B47*E47</f>
        <v>246.51900000000003</v>
      </c>
    </row>
    <row r="48" spans="1:8" x14ac:dyDescent="0.3">
      <c r="A48" s="24" t="s">
        <v>254</v>
      </c>
      <c r="B48" s="25">
        <v>130.6</v>
      </c>
      <c r="C48" s="25">
        <v>149.6</v>
      </c>
      <c r="D48" s="25">
        <v>109.9</v>
      </c>
      <c r="E48" s="25">
        <v>1.099</v>
      </c>
      <c r="F48">
        <f t="shared" si="5"/>
        <v>136.12374886260235</v>
      </c>
      <c r="G48">
        <f t="shared" si="6"/>
        <v>143.52939999999998</v>
      </c>
    </row>
    <row r="49" spans="1:7" x14ac:dyDescent="0.3">
      <c r="A49" s="24" t="s">
        <v>8</v>
      </c>
      <c r="B49" s="25">
        <v>511.2</v>
      </c>
      <c r="C49" s="25">
        <v>534.1</v>
      </c>
      <c r="D49" s="47"/>
      <c r="F49">
        <f>SUM(F46:F48)</f>
        <v>481.06278240020572</v>
      </c>
      <c r="G49">
        <f>SUM(G46:G48)</f>
        <v>567.59929999999997</v>
      </c>
    </row>
    <row r="52" spans="1:7" x14ac:dyDescent="0.3">
      <c r="A52">
        <v>481.1</v>
      </c>
    </row>
    <row r="53" spans="1:7" x14ac:dyDescent="0.3">
      <c r="A53" t="s">
        <v>255</v>
      </c>
      <c r="C53">
        <v>177.6</v>
      </c>
    </row>
    <row r="54" spans="1:7" x14ac:dyDescent="0.3">
      <c r="A54" t="s">
        <v>256</v>
      </c>
      <c r="B54">
        <f>B49-F49</f>
        <v>30.137217599794269</v>
      </c>
    </row>
    <row r="55" spans="1:7" x14ac:dyDescent="0.3">
      <c r="A55">
        <f>C49-F49</f>
        <v>53.037217599794303</v>
      </c>
    </row>
    <row r="56" spans="1:7" x14ac:dyDescent="0.3">
      <c r="A56">
        <f>C49-B49</f>
        <v>22.900000000000034</v>
      </c>
    </row>
    <row r="60" spans="1:7" ht="20.399999999999999" x14ac:dyDescent="0.3">
      <c r="A60" s="24" t="s">
        <v>257</v>
      </c>
      <c r="B60" s="31" t="s">
        <v>246</v>
      </c>
      <c r="C60" s="32" t="s">
        <v>247</v>
      </c>
      <c r="D60" s="25" t="s">
        <v>248</v>
      </c>
    </row>
    <row r="61" spans="1:7" ht="20.399999999999999" x14ac:dyDescent="0.3">
      <c r="A61" s="24"/>
      <c r="B61" s="25" t="s">
        <v>249</v>
      </c>
      <c r="C61" s="25" t="s">
        <v>250</v>
      </c>
      <c r="D61" s="25" t="s">
        <v>251</v>
      </c>
      <c r="E61" s="25" t="s">
        <v>47</v>
      </c>
      <c r="F61" s="25" t="s">
        <v>48</v>
      </c>
      <c r="G61" s="25" t="s">
        <v>49</v>
      </c>
    </row>
    <row r="62" spans="1:7" x14ac:dyDescent="0.3">
      <c r="A62" s="24" t="s">
        <v>252</v>
      </c>
      <c r="B62" s="25">
        <v>160.1</v>
      </c>
      <c r="C62" s="25">
        <v>140.69999999999999</v>
      </c>
      <c r="D62" s="25">
        <v>110.9</v>
      </c>
      <c r="E62" s="25">
        <v>1.109</v>
      </c>
      <c r="F62">
        <f>C62/E62</f>
        <v>126.87105500450856</v>
      </c>
      <c r="G62">
        <f>B62*E62</f>
        <v>177.55089999999998</v>
      </c>
    </row>
    <row r="63" spans="1:7" ht="20.399999999999999" x14ac:dyDescent="0.3">
      <c r="A63" s="24" t="s">
        <v>253</v>
      </c>
      <c r="B63" s="25">
        <v>220.5</v>
      </c>
      <c r="C63" s="25">
        <v>243.8</v>
      </c>
      <c r="D63" s="25">
        <v>111.8</v>
      </c>
      <c r="E63" s="25">
        <v>1.1180000000000001</v>
      </c>
      <c r="F63">
        <f t="shared" ref="F63:F64" si="7">C63/E63</f>
        <v>218.06797853309479</v>
      </c>
      <c r="G63">
        <f t="shared" ref="G63:G64" si="8">B63*E63</f>
        <v>246.51900000000003</v>
      </c>
    </row>
    <row r="64" spans="1:7" x14ac:dyDescent="0.3">
      <c r="A64" s="24" t="s">
        <v>254</v>
      </c>
      <c r="B64" s="25">
        <v>130.6</v>
      </c>
      <c r="C64" s="25">
        <v>149.6</v>
      </c>
      <c r="D64" s="25">
        <v>109.9</v>
      </c>
      <c r="E64" s="25">
        <v>1.099</v>
      </c>
      <c r="F64">
        <f t="shared" si="7"/>
        <v>136.12374886260235</v>
      </c>
      <c r="G64">
        <f t="shared" si="8"/>
        <v>143.52939999999998</v>
      </c>
    </row>
    <row r="65" spans="1:7" x14ac:dyDescent="0.3">
      <c r="A65" s="24" t="s">
        <v>8</v>
      </c>
      <c r="B65" s="25">
        <v>511.2</v>
      </c>
      <c r="C65" s="25">
        <v>534.1</v>
      </c>
      <c r="D65" s="24"/>
      <c r="F65">
        <f>SUM(F62:F64)</f>
        <v>481.06278240020572</v>
      </c>
      <c r="G65">
        <f>SUM(G62:G64)</f>
        <v>567.59929999999997</v>
      </c>
    </row>
    <row r="67" spans="1:7" x14ac:dyDescent="0.3">
      <c r="A67">
        <v>481.1</v>
      </c>
    </row>
    <row r="68" spans="1:7" x14ac:dyDescent="0.3">
      <c r="A68">
        <v>177.6</v>
      </c>
    </row>
    <row r="69" spans="1:7" x14ac:dyDescent="0.3">
      <c r="A69">
        <f>B65-F65</f>
        <v>30.137217599794269</v>
      </c>
    </row>
    <row r="70" spans="1:7" x14ac:dyDescent="0.3">
      <c r="A70">
        <f>C65-F65</f>
        <v>53.037217599794303</v>
      </c>
    </row>
    <row r="71" spans="1:7" x14ac:dyDescent="0.3">
      <c r="A71">
        <f>C65-B65</f>
        <v>22.900000000000034</v>
      </c>
    </row>
    <row r="72" spans="1:7" ht="16.2" thickBot="1" x14ac:dyDescent="0.35"/>
    <row r="73" spans="1:7" ht="20.399999999999999" x14ac:dyDescent="0.3">
      <c r="A73" s="58" t="s">
        <v>37</v>
      </c>
      <c r="B73" s="53" t="s">
        <v>238</v>
      </c>
      <c r="C73" s="53" t="s">
        <v>240</v>
      </c>
      <c r="D73" s="53" t="s">
        <v>241</v>
      </c>
    </row>
    <row r="74" spans="1:7" ht="31.2" thickBot="1" x14ac:dyDescent="0.35">
      <c r="A74" s="59"/>
      <c r="B74" s="54" t="s">
        <v>239</v>
      </c>
      <c r="C74" s="54" t="s">
        <v>239</v>
      </c>
      <c r="D74" s="54" t="s">
        <v>242</v>
      </c>
      <c r="E74" s="60" t="s">
        <v>47</v>
      </c>
      <c r="F74" s="60" t="s">
        <v>48</v>
      </c>
      <c r="G74" s="60" t="s">
        <v>49</v>
      </c>
    </row>
    <row r="75" spans="1:7" ht="16.2" thickBot="1" x14ac:dyDescent="0.35">
      <c r="A75" s="55" t="s">
        <v>243</v>
      </c>
      <c r="B75" s="56">
        <v>7199952</v>
      </c>
      <c r="C75" s="56">
        <v>9879924</v>
      </c>
      <c r="D75" s="57">
        <v>86.67</v>
      </c>
      <c r="E75">
        <v>0.86670000000000003</v>
      </c>
      <c r="F75">
        <f>C75/E75</f>
        <v>11399473.866389753</v>
      </c>
      <c r="G75">
        <f>B75*E75</f>
        <v>6240198.3984000003</v>
      </c>
    </row>
    <row r="76" spans="1:7" ht="16.2" thickBot="1" x14ac:dyDescent="0.35">
      <c r="A76" s="55" t="s">
        <v>244</v>
      </c>
      <c r="B76" s="56">
        <v>1199988</v>
      </c>
      <c r="C76" s="56">
        <v>2959963</v>
      </c>
      <c r="D76" s="57">
        <v>80</v>
      </c>
      <c r="E76">
        <v>0.8</v>
      </c>
      <c r="F76">
        <f t="shared" ref="F76:F77" si="9">C76/E76</f>
        <v>3699953.75</v>
      </c>
      <c r="G76">
        <f t="shared" ref="G76:G77" si="10">B76*E76</f>
        <v>959990.4</v>
      </c>
    </row>
    <row r="77" spans="1:7" ht="16.2" thickBot="1" x14ac:dyDescent="0.35">
      <c r="A77" s="55" t="s">
        <v>245</v>
      </c>
      <c r="B77" s="56">
        <v>19519878</v>
      </c>
      <c r="C77" s="56">
        <v>30365759</v>
      </c>
      <c r="D77" s="57">
        <v>78.75</v>
      </c>
      <c r="E77">
        <v>0.78749999999999998</v>
      </c>
      <c r="F77">
        <f t="shared" si="9"/>
        <v>38559693.96825397</v>
      </c>
      <c r="G77">
        <f t="shared" si="10"/>
        <v>15371903.924999999</v>
      </c>
    </row>
    <row r="78" spans="1:7" ht="16.2" thickBot="1" x14ac:dyDescent="0.35">
      <c r="A78" s="55" t="s">
        <v>8</v>
      </c>
      <c r="B78">
        <f t="shared" ref="B78:E78" si="11">SUM(B75:B77)</f>
        <v>27919818</v>
      </c>
      <c r="C78">
        <f t="shared" si="11"/>
        <v>43205646</v>
      </c>
      <c r="F78">
        <f>SUM(F75:F77)</f>
        <v>53659121.584643722</v>
      </c>
      <c r="G78">
        <f>SUM(G75:G77)</f>
        <v>22572092.7234</v>
      </c>
    </row>
    <row r="81" spans="1:8" x14ac:dyDescent="0.3">
      <c r="A81">
        <f>C78/F78</f>
        <v>0.80518735163873201</v>
      </c>
    </row>
    <row r="82" spans="1:8" x14ac:dyDescent="0.3">
      <c r="A82">
        <f>(C77/B77)/E77</f>
        <v>1.9754065045003852</v>
      </c>
    </row>
    <row r="90" spans="1:8" ht="20.399999999999999" x14ac:dyDescent="0.3">
      <c r="A90" s="41" t="s">
        <v>38</v>
      </c>
      <c r="B90" s="25" t="s">
        <v>39</v>
      </c>
      <c r="C90" s="25" t="s">
        <v>39</v>
      </c>
      <c r="D90" s="25" t="s">
        <v>42</v>
      </c>
    </row>
    <row r="91" spans="1:8" ht="20.399999999999999" x14ac:dyDescent="0.3">
      <c r="A91" s="41"/>
      <c r="B91" s="25" t="s">
        <v>40</v>
      </c>
      <c r="C91" s="25" t="s">
        <v>41</v>
      </c>
      <c r="D91" s="25" t="s">
        <v>43</v>
      </c>
      <c r="E91" s="25" t="s">
        <v>47</v>
      </c>
      <c r="F91" s="25" t="s">
        <v>48</v>
      </c>
      <c r="G91" s="25" t="s">
        <v>49</v>
      </c>
      <c r="H91" s="25" t="s">
        <v>50</v>
      </c>
    </row>
    <row r="92" spans="1:8" x14ac:dyDescent="0.3">
      <c r="A92" s="24" t="s">
        <v>44</v>
      </c>
      <c r="B92" s="25">
        <v>15.6</v>
      </c>
      <c r="C92" s="25">
        <v>21.95</v>
      </c>
      <c r="D92" s="25">
        <v>115.07</v>
      </c>
      <c r="E92" s="25">
        <v>1.1507000000000001</v>
      </c>
      <c r="F92">
        <f>C92/E92</f>
        <v>19.075345441904926</v>
      </c>
      <c r="G92">
        <f>B92*E92</f>
        <v>17.95092</v>
      </c>
      <c r="H92">
        <f>(C92/B92)/E92</f>
        <v>1.2227785539682645</v>
      </c>
    </row>
    <row r="93" spans="1:8" x14ac:dyDescent="0.3">
      <c r="A93" s="24" t="s">
        <v>45</v>
      </c>
      <c r="B93" s="25">
        <v>25.33</v>
      </c>
      <c r="C93" s="25">
        <v>24.93</v>
      </c>
      <c r="D93" s="25">
        <v>84.35</v>
      </c>
      <c r="E93" s="25">
        <v>0.84350000000000003</v>
      </c>
      <c r="F93">
        <f t="shared" ref="F93:F94" si="12">C93/E93</f>
        <v>29.555423829282748</v>
      </c>
      <c r="G93">
        <f t="shared" ref="G93:G94" si="13">B93*E93</f>
        <v>21.365855</v>
      </c>
      <c r="H93">
        <f t="shared" ref="H93:H94" si="14">(C93/B93)/E93</f>
        <v>1.1668149952342184</v>
      </c>
    </row>
    <row r="94" spans="1:8" x14ac:dyDescent="0.3">
      <c r="A94" s="24" t="s">
        <v>46</v>
      </c>
      <c r="B94" s="25">
        <v>17.920000000000002</v>
      </c>
      <c r="C94" s="25">
        <v>17.22</v>
      </c>
      <c r="D94" s="25">
        <v>115.35</v>
      </c>
      <c r="E94" s="25">
        <v>1.1535</v>
      </c>
      <c r="F94">
        <f t="shared" si="12"/>
        <v>14.928478543563068</v>
      </c>
      <c r="G94">
        <f t="shared" si="13"/>
        <v>20.670720000000003</v>
      </c>
      <c r="H94">
        <f t="shared" si="14"/>
        <v>0.83306241872561759</v>
      </c>
    </row>
    <row r="95" spans="1:8" x14ac:dyDescent="0.3">
      <c r="B95">
        <f t="shared" ref="B95:E95" si="15">SUM(B92:B94)</f>
        <v>58.85</v>
      </c>
      <c r="C95">
        <f t="shared" si="15"/>
        <v>64.099999999999994</v>
      </c>
      <c r="F95">
        <f>SUM(F92:F94)</f>
        <v>63.559247814750741</v>
      </c>
      <c r="G95">
        <f>SUM(G92:G94)</f>
        <v>59.987495000000003</v>
      </c>
    </row>
    <row r="98" spans="1:7" x14ac:dyDescent="0.3">
      <c r="A98">
        <f>C95-G95</f>
        <v>4.1125049999999916</v>
      </c>
    </row>
    <row r="102" spans="1:7" x14ac:dyDescent="0.3">
      <c r="A102" s="50"/>
      <c r="B102" s="51">
        <v>2000</v>
      </c>
      <c r="C102" s="51">
        <v>2000</v>
      </c>
      <c r="D102" s="51">
        <v>2019</v>
      </c>
      <c r="E102" s="51">
        <v>2019</v>
      </c>
    </row>
    <row r="103" spans="1:7" x14ac:dyDescent="0.3">
      <c r="A103" s="52" t="s">
        <v>258</v>
      </c>
      <c r="B103" s="61" t="s">
        <v>259</v>
      </c>
      <c r="C103" s="51" t="s">
        <v>260</v>
      </c>
      <c r="D103" s="61" t="s">
        <v>259</v>
      </c>
      <c r="E103" s="51" t="s">
        <v>260</v>
      </c>
    </row>
    <row r="104" spans="1:7" ht="20.399999999999999" x14ac:dyDescent="0.3">
      <c r="A104" s="52"/>
      <c r="B104" s="61"/>
      <c r="C104" s="51" t="s">
        <v>261</v>
      </c>
      <c r="D104" s="61"/>
      <c r="E104" s="51" t="s">
        <v>261</v>
      </c>
    </row>
    <row r="105" spans="1:7" x14ac:dyDescent="0.3">
      <c r="A105" s="50"/>
      <c r="B105" s="51" t="s">
        <v>262</v>
      </c>
      <c r="C105" s="51" t="s">
        <v>263</v>
      </c>
      <c r="D105" s="51" t="s">
        <v>262</v>
      </c>
      <c r="E105" s="51" t="s">
        <v>263</v>
      </c>
    </row>
    <row r="106" spans="1:7" x14ac:dyDescent="0.3">
      <c r="A106" s="50" t="s">
        <v>264</v>
      </c>
      <c r="B106" s="51">
        <v>4160.6000000000004</v>
      </c>
      <c r="C106" s="51">
        <v>57</v>
      </c>
      <c r="D106" s="51">
        <v>8075.1</v>
      </c>
      <c r="E106" s="51">
        <v>62.2</v>
      </c>
      <c r="F106">
        <f>C106/B106</f>
        <v>1.3699947123011104E-2</v>
      </c>
      <c r="G106">
        <f>E106/D106</f>
        <v>7.7026909883468938E-3</v>
      </c>
    </row>
    <row r="107" spans="1:7" ht="20.399999999999999" x14ac:dyDescent="0.3">
      <c r="A107" s="50" t="s">
        <v>265</v>
      </c>
      <c r="B107" s="51">
        <v>4855.7</v>
      </c>
      <c r="C107" s="51">
        <v>25.3</v>
      </c>
      <c r="D107" s="51">
        <v>7503.5</v>
      </c>
      <c r="E107" s="51">
        <v>23</v>
      </c>
      <c r="F107">
        <f t="shared" ref="F107:F108" si="16">C107/B107</f>
        <v>5.2103713161851025E-3</v>
      </c>
      <c r="G107">
        <f t="shared" ref="G107:G108" si="17">E107/D107</f>
        <v>3.0652362230958884E-3</v>
      </c>
    </row>
    <row r="108" spans="1:7" x14ac:dyDescent="0.3">
      <c r="A108" s="50" t="s">
        <v>266</v>
      </c>
      <c r="B108" s="51">
        <v>3117.5</v>
      </c>
      <c r="C108" s="51">
        <v>17.7</v>
      </c>
      <c r="D108" s="51">
        <v>6937.9</v>
      </c>
      <c r="E108" s="51">
        <v>14.8</v>
      </c>
      <c r="F108">
        <f t="shared" si="16"/>
        <v>5.6776263031275056E-3</v>
      </c>
      <c r="G108">
        <f t="shared" si="17"/>
        <v>2.1332103374219866E-3</v>
      </c>
    </row>
    <row r="109" spans="1:7" x14ac:dyDescent="0.3">
      <c r="A109" s="50" t="s">
        <v>8</v>
      </c>
      <c r="B109" s="50"/>
      <c r="C109" s="51">
        <v>100</v>
      </c>
      <c r="D109" s="50"/>
      <c r="E109" s="51">
        <v>1</v>
      </c>
      <c r="F109">
        <f>SUM(F106:F108)</f>
        <v>2.458794474232371E-2</v>
      </c>
      <c r="G109">
        <f>SUM(G106:G108)</f>
        <v>1.2901137548864768E-2</v>
      </c>
    </row>
    <row r="112" spans="1:7" x14ac:dyDescent="0.3">
      <c r="A112">
        <f>100/F109</f>
        <v>4067.0337048491915</v>
      </c>
    </row>
    <row r="113" spans="1:1" x14ac:dyDescent="0.3">
      <c r="A113">
        <f>100/G109</f>
        <v>7751.2544627353018</v>
      </c>
    </row>
  </sheetData>
  <mergeCells count="8">
    <mergeCell ref="B103:B104"/>
    <mergeCell ref="D103:D104"/>
    <mergeCell ref="A2:A3"/>
    <mergeCell ref="A16:A17"/>
    <mergeCell ref="A31:A32"/>
    <mergeCell ref="A73:A74"/>
    <mergeCell ref="A90:A91"/>
    <mergeCell ref="A103:A10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9715-0790-419C-AEDD-2856BB29415E}">
  <dimension ref="A1:H7"/>
  <sheetViews>
    <sheetView workbookViewId="0">
      <selection activeCell="E11" sqref="E11"/>
    </sheetView>
  </sheetViews>
  <sheetFormatPr defaultRowHeight="15.6" x14ac:dyDescent="0.3"/>
  <sheetData>
    <row r="1" spans="1:8" ht="20.399999999999999" x14ac:dyDescent="0.3">
      <c r="A1" s="41" t="s">
        <v>38</v>
      </c>
      <c r="B1" s="25" t="s">
        <v>39</v>
      </c>
      <c r="C1" s="25" t="s">
        <v>39</v>
      </c>
      <c r="D1" s="25" t="s">
        <v>42</v>
      </c>
      <c r="E1" s="28" t="s">
        <v>47</v>
      </c>
      <c r="F1" s="28" t="s">
        <v>48</v>
      </c>
      <c r="G1" s="28" t="s">
        <v>49</v>
      </c>
      <c r="H1" s="28" t="s">
        <v>50</v>
      </c>
    </row>
    <row r="2" spans="1:8" ht="20.399999999999999" x14ac:dyDescent="0.3">
      <c r="A2" s="41"/>
      <c r="B2" s="25" t="s">
        <v>40</v>
      </c>
      <c r="C2" s="25" t="s">
        <v>41</v>
      </c>
      <c r="D2" s="25" t="s">
        <v>43</v>
      </c>
    </row>
    <row r="3" spans="1:8" x14ac:dyDescent="0.3">
      <c r="A3" s="24" t="s">
        <v>44</v>
      </c>
      <c r="B3" s="25">
        <v>15.6</v>
      </c>
      <c r="C3" s="25">
        <v>21.95</v>
      </c>
      <c r="D3" s="25">
        <v>115.07</v>
      </c>
      <c r="E3" s="30">
        <f>D3/100</f>
        <v>1.1506999999999998</v>
      </c>
      <c r="F3" s="30">
        <f>B3*E3</f>
        <v>17.950919999999996</v>
      </c>
      <c r="G3" s="30">
        <f>C3/E3</f>
        <v>19.075345441904929</v>
      </c>
      <c r="H3" s="30">
        <f>(C3/B3)/E3</f>
        <v>1.2227785539682647</v>
      </c>
    </row>
    <row r="4" spans="1:8" x14ac:dyDescent="0.3">
      <c r="A4" s="24" t="s">
        <v>45</v>
      </c>
      <c r="B4" s="25">
        <v>25.33</v>
      </c>
      <c r="C4" s="25">
        <v>24.93</v>
      </c>
      <c r="D4" s="25">
        <v>84.35</v>
      </c>
      <c r="E4" s="30">
        <f t="shared" ref="E4:E5" si="0">D4/100</f>
        <v>0.84349999999999992</v>
      </c>
      <c r="F4" s="30">
        <f t="shared" ref="F4:F5" si="1">B4*E4</f>
        <v>21.365854999999996</v>
      </c>
      <c r="G4" s="30">
        <f t="shared" ref="G4:G5" si="2">C4/E4</f>
        <v>29.555423829282752</v>
      </c>
      <c r="H4" s="30">
        <f t="shared" ref="H4:H5" si="3">(C4/B4)/E4</f>
        <v>1.1668149952342184</v>
      </c>
    </row>
    <row r="5" spans="1:8" x14ac:dyDescent="0.3">
      <c r="A5" s="24" t="s">
        <v>46</v>
      </c>
      <c r="B5" s="25">
        <v>17.920000000000002</v>
      </c>
      <c r="C5" s="25">
        <v>17.22</v>
      </c>
      <c r="D5" s="25">
        <v>115.35</v>
      </c>
      <c r="E5" s="30">
        <f t="shared" si="0"/>
        <v>1.1535</v>
      </c>
      <c r="F5" s="30">
        <f t="shared" si="1"/>
        <v>20.670720000000003</v>
      </c>
      <c r="G5" s="30">
        <f t="shared" si="2"/>
        <v>14.928478543563068</v>
      </c>
      <c r="H5" s="30">
        <f t="shared" si="3"/>
        <v>0.83306241872561759</v>
      </c>
    </row>
    <row r="6" spans="1:8" x14ac:dyDescent="0.3">
      <c r="B6" s="30">
        <f>SUM(B3:B5)</f>
        <v>58.85</v>
      </c>
      <c r="C6" s="30">
        <f>SUM(C3:C5)</f>
        <v>64.099999999999994</v>
      </c>
      <c r="E6" s="30"/>
      <c r="F6" s="30">
        <f>SUM(F3:F5)</f>
        <v>59.987494999999996</v>
      </c>
      <c r="G6" s="30">
        <f>SUM(G3:G5)</f>
        <v>63.559247814750748</v>
      </c>
      <c r="H6" s="30"/>
    </row>
    <row r="7" spans="1:8" x14ac:dyDescent="0.3">
      <c r="A7" s="24" t="s">
        <v>51</v>
      </c>
      <c r="B7" t="s">
        <v>20</v>
      </c>
      <c r="C7" t="s">
        <v>21</v>
      </c>
      <c r="D7" t="s">
        <v>52</v>
      </c>
    </row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853D-6ED3-474F-84C1-C59266F18F4B}">
  <dimension ref="A1:I70"/>
  <sheetViews>
    <sheetView topLeftCell="A82" workbookViewId="0">
      <selection activeCell="F31" sqref="F31"/>
    </sheetView>
  </sheetViews>
  <sheetFormatPr defaultRowHeight="15.6" x14ac:dyDescent="0.3"/>
  <sheetData>
    <row r="1" spans="1:8" x14ac:dyDescent="0.3">
      <c r="A1" s="24" t="s">
        <v>143</v>
      </c>
      <c r="B1" s="31" t="s">
        <v>144</v>
      </c>
      <c r="C1" s="24" t="s">
        <v>145</v>
      </c>
      <c r="D1" s="31" t="s">
        <v>146</v>
      </c>
      <c r="E1" s="24" t="s">
        <v>145</v>
      </c>
    </row>
    <row r="2" spans="1:8" x14ac:dyDescent="0.3">
      <c r="A2" s="41"/>
      <c r="B2" s="25" t="s">
        <v>147</v>
      </c>
      <c r="C2" s="25" t="s">
        <v>149</v>
      </c>
      <c r="D2" s="25" t="s">
        <v>147</v>
      </c>
      <c r="E2" s="25" t="s">
        <v>149</v>
      </c>
      <c r="F2" s="25" t="s">
        <v>162</v>
      </c>
      <c r="G2" s="25" t="s">
        <v>163</v>
      </c>
      <c r="H2" s="25" t="s">
        <v>164</v>
      </c>
    </row>
    <row r="3" spans="1:8" ht="20.399999999999999" x14ac:dyDescent="0.3">
      <c r="A3" s="41"/>
      <c r="B3" s="25" t="s">
        <v>148</v>
      </c>
      <c r="C3" s="25" t="s">
        <v>150</v>
      </c>
      <c r="D3" s="25" t="s">
        <v>148</v>
      </c>
      <c r="E3" s="25" t="s">
        <v>150</v>
      </c>
    </row>
    <row r="4" spans="1:8" ht="20.399999999999999" x14ac:dyDescent="0.3">
      <c r="A4" s="24" t="s">
        <v>151</v>
      </c>
      <c r="B4" s="25">
        <v>22</v>
      </c>
      <c r="C4" s="25">
        <v>2360</v>
      </c>
      <c r="D4" s="25">
        <v>17</v>
      </c>
      <c r="E4" s="25">
        <v>2144</v>
      </c>
      <c r="F4">
        <f>C4/B4</f>
        <v>107.27272727272727</v>
      </c>
      <c r="G4">
        <f>E4/D4</f>
        <v>126.11764705882354</v>
      </c>
      <c r="H4">
        <f>F4*D4</f>
        <v>1823.6363636363635</v>
      </c>
    </row>
    <row r="5" spans="1:8" ht="20.399999999999999" x14ac:dyDescent="0.3">
      <c r="A5" s="24" t="s">
        <v>152</v>
      </c>
      <c r="B5" s="25">
        <v>41</v>
      </c>
      <c r="C5" s="25">
        <v>3984</v>
      </c>
      <c r="D5" s="25">
        <v>40</v>
      </c>
      <c r="E5" s="25">
        <v>4578</v>
      </c>
      <c r="F5">
        <f t="shared" ref="F5:F6" si="0">C5/B5</f>
        <v>97.170731707317074</v>
      </c>
      <c r="G5">
        <f t="shared" ref="G5:G6" si="1">E5/D5</f>
        <v>114.45</v>
      </c>
      <c r="H5">
        <f t="shared" ref="H5:H6" si="2">F5*D5</f>
        <v>3886.8292682926831</v>
      </c>
    </row>
    <row r="6" spans="1:8" ht="20.399999999999999" x14ac:dyDescent="0.3">
      <c r="A6" s="24" t="s">
        <v>153</v>
      </c>
      <c r="B6" s="25">
        <v>50</v>
      </c>
      <c r="C6" s="25">
        <v>4100</v>
      </c>
      <c r="D6" s="25">
        <v>60</v>
      </c>
      <c r="E6" s="25">
        <v>5850</v>
      </c>
      <c r="F6">
        <f t="shared" si="0"/>
        <v>82</v>
      </c>
      <c r="G6">
        <f t="shared" si="1"/>
        <v>97.5</v>
      </c>
      <c r="H6">
        <f t="shared" si="2"/>
        <v>4920</v>
      </c>
    </row>
    <row r="7" spans="1:8" x14ac:dyDescent="0.3">
      <c r="A7" s="24" t="s">
        <v>8</v>
      </c>
      <c r="B7" s="25">
        <v>113</v>
      </c>
      <c r="C7" s="25">
        <v>10444</v>
      </c>
      <c r="D7" s="25">
        <v>117</v>
      </c>
      <c r="E7" s="25">
        <v>12572</v>
      </c>
      <c r="F7">
        <f>SUM(F4:F6)</f>
        <v>286.44345898004434</v>
      </c>
      <c r="G7">
        <f t="shared" ref="G7:H7" si="3">SUM(G4:G6)</f>
        <v>338.06764705882352</v>
      </c>
      <c r="H7">
        <f t="shared" si="3"/>
        <v>10630.465631929046</v>
      </c>
    </row>
    <row r="8" spans="1:8" x14ac:dyDescent="0.3">
      <c r="B8" t="s">
        <v>165</v>
      </c>
      <c r="C8" t="s">
        <v>167</v>
      </c>
      <c r="D8" t="s">
        <v>166</v>
      </c>
      <c r="E8" t="s">
        <v>168</v>
      </c>
    </row>
    <row r="11" spans="1:8" x14ac:dyDescent="0.3">
      <c r="A11" t="s">
        <v>169</v>
      </c>
      <c r="B11">
        <f>((E7/D7)/(C7/B7))*100</f>
        <v>116.2599390481428</v>
      </c>
    </row>
    <row r="13" spans="1:8" x14ac:dyDescent="0.3">
      <c r="A13" s="26" t="s">
        <v>170</v>
      </c>
      <c r="B13">
        <f>(E7/H7)*100</f>
        <v>118.26386947942784</v>
      </c>
    </row>
    <row r="15" spans="1:8" x14ac:dyDescent="0.3">
      <c r="A15" t="s">
        <v>171</v>
      </c>
      <c r="B15">
        <f>B11/B13</f>
        <v>0.98305542986115779</v>
      </c>
    </row>
    <row r="29" spans="1:9" x14ac:dyDescent="0.3">
      <c r="A29" s="39"/>
      <c r="B29" s="38" t="s">
        <v>154</v>
      </c>
      <c r="C29" s="38" t="s">
        <v>154</v>
      </c>
      <c r="D29" s="38" t="s">
        <v>155</v>
      </c>
      <c r="E29" s="38" t="s">
        <v>155</v>
      </c>
      <c r="F29" s="38" t="s">
        <v>176</v>
      </c>
      <c r="G29" s="38" t="s">
        <v>177</v>
      </c>
      <c r="H29" s="38" t="s">
        <v>178</v>
      </c>
      <c r="I29" s="38" t="s">
        <v>179</v>
      </c>
    </row>
    <row r="30" spans="1:9" x14ac:dyDescent="0.3">
      <c r="A30" s="39" t="s">
        <v>156</v>
      </c>
      <c r="B30" s="38" t="s">
        <v>157</v>
      </c>
      <c r="C30" s="38" t="s">
        <v>158</v>
      </c>
      <c r="D30" s="38" t="s">
        <v>157</v>
      </c>
      <c r="E30" s="38" t="s">
        <v>158</v>
      </c>
    </row>
    <row r="31" spans="1:9" x14ac:dyDescent="0.3">
      <c r="A31" s="39" t="s">
        <v>159</v>
      </c>
      <c r="B31" s="38">
        <v>10</v>
      </c>
      <c r="C31" s="38">
        <v>80</v>
      </c>
      <c r="D31" s="38">
        <v>8</v>
      </c>
      <c r="E31" s="38">
        <v>200</v>
      </c>
      <c r="F31">
        <f>B31*C31</f>
        <v>800</v>
      </c>
      <c r="G31">
        <f>D31*E31</f>
        <v>1600</v>
      </c>
      <c r="H31">
        <f>B31*E31</f>
        <v>2000</v>
      </c>
      <c r="I31">
        <f>C31*D31</f>
        <v>640</v>
      </c>
    </row>
    <row r="32" spans="1:9" x14ac:dyDescent="0.3">
      <c r="A32" s="39" t="s">
        <v>160</v>
      </c>
      <c r="B32" s="38">
        <v>16</v>
      </c>
      <c r="C32" s="38">
        <v>70</v>
      </c>
      <c r="D32" s="38">
        <v>17</v>
      </c>
      <c r="E32" s="38">
        <v>300</v>
      </c>
      <c r="F32">
        <f t="shared" ref="F32:F33" si="4">B32*C32</f>
        <v>1120</v>
      </c>
      <c r="G32">
        <f t="shared" ref="G32:G33" si="5">D32*E32</f>
        <v>5100</v>
      </c>
      <c r="H32">
        <f t="shared" ref="H32:H33" si="6">B32*E32</f>
        <v>4800</v>
      </c>
      <c r="I32">
        <f t="shared" ref="I32:I33" si="7">C32*D32</f>
        <v>1190</v>
      </c>
    </row>
    <row r="33" spans="1:9" x14ac:dyDescent="0.3">
      <c r="A33" s="39" t="s">
        <v>161</v>
      </c>
      <c r="B33" s="38">
        <v>18</v>
      </c>
      <c r="C33" s="38">
        <v>50</v>
      </c>
      <c r="D33" s="38">
        <v>20</v>
      </c>
      <c r="E33" s="38">
        <v>500</v>
      </c>
      <c r="F33">
        <f t="shared" si="4"/>
        <v>900</v>
      </c>
      <c r="G33">
        <f t="shared" si="5"/>
        <v>10000</v>
      </c>
      <c r="H33">
        <f t="shared" si="6"/>
        <v>9000</v>
      </c>
      <c r="I33">
        <f t="shared" si="7"/>
        <v>1000</v>
      </c>
    </row>
    <row r="34" spans="1:9" x14ac:dyDescent="0.3">
      <c r="A34" s="39"/>
      <c r="B34" s="39"/>
      <c r="C34" s="38">
        <v>200</v>
      </c>
      <c r="D34" s="39"/>
      <c r="E34" s="38">
        <v>1000</v>
      </c>
      <c r="F34">
        <f>SUM(F31:F33)</f>
        <v>2820</v>
      </c>
      <c r="G34">
        <f t="shared" ref="G34:I34" si="8">SUM(G31:G33)</f>
        <v>16700</v>
      </c>
      <c r="H34">
        <f t="shared" si="8"/>
        <v>15800</v>
      </c>
      <c r="I34">
        <f t="shared" si="8"/>
        <v>2830</v>
      </c>
    </row>
    <row r="35" spans="1:9" x14ac:dyDescent="0.3">
      <c r="A35" s="39"/>
      <c r="B35" s="39"/>
      <c r="C35" s="38">
        <v>200</v>
      </c>
      <c r="D35" s="39"/>
      <c r="E35" s="38">
        <v>1000</v>
      </c>
    </row>
    <row r="37" spans="1:9" x14ac:dyDescent="0.3">
      <c r="B37" t="s">
        <v>172</v>
      </c>
      <c r="C37" t="s">
        <v>173</v>
      </c>
      <c r="D37" t="s">
        <v>174</v>
      </c>
      <c r="E37" t="s">
        <v>175</v>
      </c>
      <c r="F37" t="s">
        <v>184</v>
      </c>
      <c r="G37" t="s">
        <v>185</v>
      </c>
      <c r="H37" t="s">
        <v>182</v>
      </c>
      <c r="I37" t="s">
        <v>183</v>
      </c>
    </row>
    <row r="41" spans="1:9" x14ac:dyDescent="0.3">
      <c r="A41" t="s">
        <v>180</v>
      </c>
      <c r="C41">
        <f>F34/C34</f>
        <v>14.1</v>
      </c>
      <c r="E41">
        <v>14100</v>
      </c>
    </row>
    <row r="43" spans="1:9" x14ac:dyDescent="0.3">
      <c r="A43" t="s">
        <v>181</v>
      </c>
      <c r="C43">
        <f>G34/E34</f>
        <v>16.7</v>
      </c>
      <c r="E43">
        <v>16700</v>
      </c>
    </row>
    <row r="45" spans="1:9" x14ac:dyDescent="0.3">
      <c r="A45" t="s">
        <v>186</v>
      </c>
      <c r="C45">
        <f>I34/C34</f>
        <v>14.15</v>
      </c>
    </row>
    <row r="47" spans="1:9" x14ac:dyDescent="0.3">
      <c r="A47" t="s">
        <v>182</v>
      </c>
      <c r="C47">
        <f>H34/E34</f>
        <v>15.8</v>
      </c>
    </row>
    <row r="59" spans="1:8" x14ac:dyDescent="0.3">
      <c r="A59" s="48"/>
      <c r="B59" s="25" t="s">
        <v>149</v>
      </c>
      <c r="C59" s="25" t="s">
        <v>147</v>
      </c>
      <c r="D59" s="25" t="s">
        <v>149</v>
      </c>
      <c r="E59" s="47"/>
    </row>
    <row r="60" spans="1:8" ht="20.399999999999999" x14ac:dyDescent="0.3">
      <c r="A60" s="25" t="s">
        <v>147</v>
      </c>
      <c r="B60" s="25" t="s">
        <v>150</v>
      </c>
      <c r="C60" s="25" t="s">
        <v>148</v>
      </c>
      <c r="D60" s="25" t="s">
        <v>150</v>
      </c>
      <c r="E60" s="47"/>
    </row>
    <row r="61" spans="1:8" x14ac:dyDescent="0.3">
      <c r="A61" s="25" t="s">
        <v>148</v>
      </c>
      <c r="B61" s="48"/>
      <c r="C61" s="48"/>
      <c r="D61" s="48"/>
      <c r="E61" s="47"/>
    </row>
    <row r="62" spans="1:8" ht="20.399999999999999" x14ac:dyDescent="0.3">
      <c r="A62" s="24" t="s">
        <v>151</v>
      </c>
      <c r="B62" s="25">
        <v>22</v>
      </c>
      <c r="C62" s="25">
        <v>2360</v>
      </c>
      <c r="D62" s="25">
        <v>17</v>
      </c>
      <c r="E62" s="25">
        <v>2144</v>
      </c>
      <c r="F62">
        <f>C62/B62</f>
        <v>107.27272727272727</v>
      </c>
      <c r="G62">
        <f>E62/D62</f>
        <v>126.11764705882354</v>
      </c>
      <c r="H62">
        <f>F62*D62</f>
        <v>1823.6363636363635</v>
      </c>
    </row>
    <row r="63" spans="1:8" ht="20.399999999999999" x14ac:dyDescent="0.3">
      <c r="A63" s="24" t="s">
        <v>152</v>
      </c>
      <c r="B63" s="25">
        <v>41</v>
      </c>
      <c r="C63" s="25">
        <v>3984</v>
      </c>
      <c r="D63" s="25">
        <v>40</v>
      </c>
      <c r="E63" s="25">
        <v>4578</v>
      </c>
      <c r="F63">
        <f t="shared" ref="F63:F64" si="9">C63/B63</f>
        <v>97.170731707317074</v>
      </c>
      <c r="G63">
        <f t="shared" ref="G63:G64" si="10">E63/D63</f>
        <v>114.45</v>
      </c>
      <c r="H63">
        <f t="shared" ref="H63:H64" si="11">F63*D63</f>
        <v>3886.8292682926831</v>
      </c>
    </row>
    <row r="64" spans="1:8" ht="20.399999999999999" x14ac:dyDescent="0.3">
      <c r="A64" s="24" t="s">
        <v>153</v>
      </c>
      <c r="B64" s="25">
        <v>50</v>
      </c>
      <c r="C64" s="25">
        <v>4100</v>
      </c>
      <c r="D64" s="25">
        <v>60</v>
      </c>
      <c r="E64" s="25">
        <v>5850</v>
      </c>
      <c r="F64">
        <f t="shared" si="9"/>
        <v>82</v>
      </c>
      <c r="G64">
        <f t="shared" si="10"/>
        <v>97.5</v>
      </c>
      <c r="H64">
        <f t="shared" si="11"/>
        <v>4920</v>
      </c>
    </row>
    <row r="65" spans="1:8" x14ac:dyDescent="0.3">
      <c r="A65" s="24" t="s">
        <v>8</v>
      </c>
      <c r="B65" s="25">
        <v>113</v>
      </c>
      <c r="C65" s="25">
        <v>10444</v>
      </c>
      <c r="D65" s="25">
        <v>117</v>
      </c>
      <c r="E65" s="25">
        <v>12572</v>
      </c>
      <c r="F65">
        <f>SUM(F62:F64)</f>
        <v>286.44345898004434</v>
      </c>
      <c r="G65">
        <f t="shared" ref="G65:H65" si="12">SUM(G62:G64)</f>
        <v>338.06764705882352</v>
      </c>
      <c r="H65">
        <f t="shared" si="12"/>
        <v>10630.465631929046</v>
      </c>
    </row>
    <row r="68" spans="1:8" x14ac:dyDescent="0.3">
      <c r="A68" s="24" t="s">
        <v>206</v>
      </c>
      <c r="B68">
        <f>((E7/D7)/(C7/B7))*100</f>
        <v>116.2599390481428</v>
      </c>
    </row>
    <row r="69" spans="1:8" x14ac:dyDescent="0.3">
      <c r="A69" s="24" t="s">
        <v>207</v>
      </c>
      <c r="B69">
        <f>(E7/H7)*100</f>
        <v>118.26386947942784</v>
      </c>
    </row>
    <row r="70" spans="1:8" x14ac:dyDescent="0.3">
      <c r="A70" s="24" t="s">
        <v>208</v>
      </c>
      <c r="B70">
        <f>B68/B69</f>
        <v>0.98305542986115779</v>
      </c>
    </row>
  </sheetData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CB2D-95B8-44EE-BE88-5FEA2E634257}">
  <dimension ref="A1:G12"/>
  <sheetViews>
    <sheetView workbookViewId="0">
      <selection activeCell="F5" sqref="F5"/>
    </sheetView>
  </sheetViews>
  <sheetFormatPr defaultRowHeight="15.6" x14ac:dyDescent="0.3"/>
  <sheetData>
    <row r="1" spans="1:7" ht="20.399999999999999" x14ac:dyDescent="0.3">
      <c r="A1" s="24" t="s">
        <v>0</v>
      </c>
      <c r="B1" s="25" t="s">
        <v>1</v>
      </c>
      <c r="C1" s="25" t="s">
        <v>1</v>
      </c>
      <c r="D1" s="25" t="s">
        <v>0</v>
      </c>
      <c r="E1" s="25" t="s">
        <v>0</v>
      </c>
    </row>
    <row r="2" spans="1:7" ht="20.399999999999999" x14ac:dyDescent="0.3">
      <c r="A2" s="24" t="s">
        <v>2</v>
      </c>
      <c r="B2" s="25" t="s">
        <v>3</v>
      </c>
      <c r="C2" s="25" t="s">
        <v>3</v>
      </c>
      <c r="D2" s="25" t="s">
        <v>4</v>
      </c>
      <c r="E2" s="25" t="s">
        <v>4</v>
      </c>
    </row>
    <row r="3" spans="1:7" x14ac:dyDescent="0.3">
      <c r="A3" s="24"/>
      <c r="B3" s="25">
        <v>2020</v>
      </c>
      <c r="C3" s="25">
        <v>2021</v>
      </c>
      <c r="D3" s="25">
        <v>2020</v>
      </c>
      <c r="E3" s="25">
        <v>2021</v>
      </c>
      <c r="F3" s="25">
        <v>2020</v>
      </c>
      <c r="G3" s="25">
        <v>2021</v>
      </c>
    </row>
    <row r="4" spans="1:7" x14ac:dyDescent="0.3">
      <c r="A4" s="24" t="s">
        <v>5</v>
      </c>
      <c r="B4" s="25">
        <v>10</v>
      </c>
      <c r="C4" s="25">
        <v>5</v>
      </c>
      <c r="D4" s="25">
        <v>40</v>
      </c>
      <c r="E4" s="25">
        <v>50</v>
      </c>
      <c r="F4">
        <f>D4/B4</f>
        <v>4</v>
      </c>
      <c r="G4">
        <f>E4/C4</f>
        <v>10</v>
      </c>
    </row>
    <row r="5" spans="1:7" x14ac:dyDescent="0.3">
      <c r="A5" s="24" t="s">
        <v>6</v>
      </c>
      <c r="B5" s="25">
        <v>10</v>
      </c>
      <c r="C5" s="25">
        <v>8</v>
      </c>
      <c r="D5" s="25">
        <v>20</v>
      </c>
      <c r="E5" s="25">
        <v>25</v>
      </c>
      <c r="F5">
        <f t="shared" ref="F5:F6" si="0">D5/B5</f>
        <v>2</v>
      </c>
      <c r="G5">
        <f t="shared" ref="G5:G6" si="1">E5/C5</f>
        <v>3.125</v>
      </c>
    </row>
    <row r="6" spans="1:7" x14ac:dyDescent="0.3">
      <c r="A6" s="24" t="s">
        <v>7</v>
      </c>
      <c r="B6" s="25">
        <v>8</v>
      </c>
      <c r="C6" s="25">
        <v>12</v>
      </c>
      <c r="D6" s="25">
        <v>40</v>
      </c>
      <c r="E6" s="25">
        <v>25</v>
      </c>
      <c r="F6">
        <f t="shared" si="0"/>
        <v>5</v>
      </c>
      <c r="G6">
        <f t="shared" si="1"/>
        <v>2.0833333333333335</v>
      </c>
    </row>
    <row r="7" spans="1:7" x14ac:dyDescent="0.3">
      <c r="A7" s="24" t="s">
        <v>8</v>
      </c>
      <c r="B7" s="25" t="s">
        <v>9</v>
      </c>
      <c r="C7" s="25" t="s">
        <v>9</v>
      </c>
      <c r="D7" s="25">
        <v>100</v>
      </c>
      <c r="E7" s="25">
        <v>100</v>
      </c>
      <c r="F7">
        <f>SUM(F4:F6)</f>
        <v>11</v>
      </c>
      <c r="G7">
        <f>SUM(G4:G6)</f>
        <v>15.208333333333334</v>
      </c>
    </row>
    <row r="9" spans="1:7" x14ac:dyDescent="0.3">
      <c r="A9" s="24" t="s">
        <v>134</v>
      </c>
      <c r="B9">
        <f>D7/F7</f>
        <v>9.0909090909090917</v>
      </c>
    </row>
    <row r="10" spans="1:7" x14ac:dyDescent="0.3">
      <c r="A10" s="24" t="s">
        <v>209</v>
      </c>
      <c r="B10">
        <f>D7/G7</f>
        <v>6.5753424657534243</v>
      </c>
    </row>
    <row r="12" spans="1:7" x14ac:dyDescent="0.3">
      <c r="A12" s="24" t="s">
        <v>205</v>
      </c>
      <c r="B12">
        <f>(B10/B9)*100</f>
        <v>72.328767123287662</v>
      </c>
      <c r="D1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11</vt:i4>
      </vt:variant>
    </vt:vector>
  </HeadingPairs>
  <TitlesOfParts>
    <vt:vector size="11" baseType="lpstr">
      <vt:lpstr>1fő beruházás</vt:lpstr>
      <vt:lpstr>Sör, üdito,energiaital</vt:lpstr>
      <vt:lpstr>Munka5</vt:lpstr>
      <vt:lpstr>Torta, Ecset, habverő</vt:lpstr>
      <vt:lpstr>Munka4</vt:lpstr>
      <vt:lpstr>gyakorlas</vt:lpstr>
      <vt:lpstr>Munka2</vt:lpstr>
      <vt:lpstr>most</vt:lpstr>
      <vt:lpstr>Munka6</vt:lpstr>
      <vt:lpstr>OKJ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Sára Szollár</dc:creator>
  <cp:lastModifiedBy>Pogány Bence</cp:lastModifiedBy>
  <dcterms:created xsi:type="dcterms:W3CDTF">2026-05-17T18:07:44Z</dcterms:created>
  <dcterms:modified xsi:type="dcterms:W3CDTF">2026-05-28T14:08:04Z</dcterms:modified>
</cp:coreProperties>
</file>