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gany.b\Downloads\"/>
    </mc:Choice>
  </mc:AlternateContent>
  <xr:revisionPtr revIDLastSave="0" documentId="13_ncr:1_{7685C35A-A7ED-4EDC-925F-2A664351CFC2}" xr6:coauthVersionLast="47" xr6:coauthVersionMax="47" xr10:uidLastSave="{00000000-0000-0000-0000-000000000000}"/>
  <bookViews>
    <workbookView xWindow="-25815" yWindow="-105" windowWidth="23040" windowHeight="13590" firstSheet="3" activeTab="16" xr2:uid="{4BBA3952-665C-4E42-B98E-9BAE49A08984}"/>
  </bookViews>
  <sheets>
    <sheet name="1zh" sheetId="8" r:id="rId1"/>
    <sheet name="2zh" sheetId="7" r:id="rId2"/>
    <sheet name="zh1 gyak" sheetId="9" r:id="rId3"/>
    <sheet name="zh2 gyak" sheetId="14" r:id="rId4"/>
    <sheet name="vizsgagyak1" sheetId="10" r:id="rId5"/>
    <sheet name="v2" sheetId="11" r:id="rId6"/>
    <sheet name="v3" sheetId="12" r:id="rId7"/>
    <sheet name="v4" sheetId="13" r:id="rId8"/>
    <sheet name="v5" sheetId="15" r:id="rId9"/>
    <sheet name="v6" sheetId="16" r:id="rId10"/>
    <sheet name="v7" sheetId="17" r:id="rId11"/>
    <sheet name="v8" sheetId="18" r:id="rId12"/>
    <sheet name="v9" sheetId="19" r:id="rId13"/>
    <sheet name="v10" sheetId="20" r:id="rId14"/>
    <sheet name="v11" sheetId="21" r:id="rId15"/>
    <sheet name="v12" sheetId="22" r:id="rId16"/>
    <sheet name="v13" sheetId="23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7" i="23" l="1"/>
  <c r="D28" i="23"/>
  <c r="E28" i="23"/>
  <c r="C26" i="23"/>
  <c r="A22" i="23"/>
  <c r="A21" i="23"/>
  <c r="D19" i="23"/>
  <c r="D14" i="23"/>
  <c r="D15" i="23"/>
  <c r="D16" i="23"/>
  <c r="D17" i="23"/>
  <c r="D18" i="23"/>
  <c r="D13" i="23"/>
  <c r="A9" i="23"/>
  <c r="A8" i="23"/>
  <c r="G6" i="23"/>
  <c r="E6" i="23"/>
  <c r="F6" i="23"/>
  <c r="G4" i="23"/>
  <c r="G5" i="23"/>
  <c r="G3" i="23"/>
  <c r="F5" i="23"/>
  <c r="F4" i="23"/>
  <c r="F3" i="23"/>
  <c r="E5" i="23"/>
  <c r="E4" i="23"/>
  <c r="E3" i="23"/>
  <c r="D31" i="22"/>
  <c r="A25" i="22"/>
  <c r="D32" i="22"/>
  <c r="B32" i="22"/>
  <c r="D33" i="22"/>
  <c r="D35" i="22"/>
  <c r="B35" i="22"/>
  <c r="C33" i="22"/>
  <c r="E32" i="22"/>
  <c r="C30" i="22"/>
  <c r="C21" i="22"/>
  <c r="C17" i="22"/>
  <c r="C16" i="22"/>
  <c r="A24" i="22"/>
  <c r="B15" i="22"/>
  <c r="A10" i="22"/>
  <c r="A9" i="22"/>
  <c r="A8" i="22"/>
  <c r="F6" i="22"/>
  <c r="G6" i="22"/>
  <c r="E6" i="22"/>
  <c r="G4" i="22"/>
  <c r="G5" i="22"/>
  <c r="G3" i="22"/>
  <c r="F5" i="22"/>
  <c r="F4" i="22"/>
  <c r="F3" i="22"/>
  <c r="E5" i="22"/>
  <c r="E4" i="22"/>
  <c r="E3" i="22"/>
  <c r="B40" i="21"/>
  <c r="F35" i="21"/>
  <c r="F34" i="21"/>
  <c r="F33" i="21"/>
  <c r="F32" i="21"/>
  <c r="F31" i="21"/>
  <c r="F30" i="21"/>
  <c r="B38" i="21"/>
  <c r="D36" i="21"/>
  <c r="D31" i="21"/>
  <c r="D32" i="21"/>
  <c r="D33" i="21"/>
  <c r="D34" i="21"/>
  <c r="D35" i="21"/>
  <c r="D30" i="21"/>
  <c r="A26" i="21"/>
  <c r="A25" i="21"/>
  <c r="D23" i="21"/>
  <c r="D18" i="21"/>
  <c r="D19" i="21"/>
  <c r="D20" i="21"/>
  <c r="D21" i="21"/>
  <c r="D22" i="21"/>
  <c r="D17" i="21"/>
  <c r="B12" i="21"/>
  <c r="B11" i="21"/>
  <c r="H5" i="21"/>
  <c r="H6" i="21"/>
  <c r="H4" i="21"/>
  <c r="H7" i="21"/>
  <c r="G7" i="21"/>
  <c r="G5" i="21"/>
  <c r="G6" i="21"/>
  <c r="G4" i="21"/>
  <c r="F7" i="21"/>
  <c r="F5" i="21"/>
  <c r="F6" i="21"/>
  <c r="F4" i="21"/>
  <c r="B10" i="21"/>
  <c r="A26" i="20"/>
  <c r="A25" i="20"/>
  <c r="D23" i="20"/>
  <c r="D18" i="20"/>
  <c r="D19" i="20"/>
  <c r="D20" i="20"/>
  <c r="D21" i="20"/>
  <c r="D22" i="20"/>
  <c r="D17" i="20"/>
  <c r="B13" i="20"/>
  <c r="A13" i="20"/>
  <c r="B12" i="20"/>
  <c r="A12" i="20"/>
  <c r="A11" i="20"/>
  <c r="A10" i="20"/>
  <c r="G7" i="20"/>
  <c r="F7" i="20"/>
  <c r="G5" i="20"/>
  <c r="G6" i="20"/>
  <c r="G4" i="20"/>
  <c r="F5" i="20"/>
  <c r="F6" i="20"/>
  <c r="F4" i="20"/>
  <c r="A11" i="15"/>
  <c r="A10" i="15"/>
  <c r="A27" i="19"/>
  <c r="A26" i="19"/>
  <c r="D24" i="19"/>
  <c r="D19" i="19"/>
  <c r="D20" i="19"/>
  <c r="D21" i="19"/>
  <c r="D22" i="19"/>
  <c r="D23" i="19"/>
  <c r="D18" i="19"/>
  <c r="A12" i="19"/>
  <c r="B11" i="19"/>
  <c r="A13" i="19"/>
  <c r="H8" i="19"/>
  <c r="H7" i="19"/>
  <c r="H5" i="19"/>
  <c r="H6" i="19"/>
  <c r="H4" i="19"/>
  <c r="A11" i="19"/>
  <c r="G5" i="19"/>
  <c r="G6" i="19"/>
  <c r="G4" i="19"/>
  <c r="A9" i="19"/>
  <c r="G7" i="19"/>
  <c r="F7" i="19"/>
  <c r="F5" i="19"/>
  <c r="F6" i="19"/>
  <c r="F4" i="19"/>
  <c r="F116" i="8"/>
  <c r="F117" i="8"/>
  <c r="F118" i="8"/>
  <c r="F119" i="8"/>
  <c r="F120" i="8"/>
  <c r="F115" i="8"/>
  <c r="D122" i="8"/>
  <c r="A39" i="18"/>
  <c r="G36" i="18"/>
  <c r="G31" i="18"/>
  <c r="G32" i="18"/>
  <c r="G33" i="18"/>
  <c r="G34" i="18"/>
  <c r="G35" i="18"/>
  <c r="G30" i="18"/>
  <c r="A24" i="18"/>
  <c r="D22" i="18"/>
  <c r="D17" i="18"/>
  <c r="D18" i="18"/>
  <c r="D19" i="18"/>
  <c r="D20" i="18"/>
  <c r="D21" i="18"/>
  <c r="D16" i="18"/>
  <c r="B11" i="18"/>
  <c r="B10" i="18"/>
  <c r="H6" i="18"/>
  <c r="H5" i="18"/>
  <c r="H4" i="18"/>
  <c r="F7" i="18"/>
  <c r="F5" i="18"/>
  <c r="F6" i="18"/>
  <c r="F4" i="18"/>
  <c r="B9" i="18"/>
  <c r="A9" i="17"/>
  <c r="B42" i="17"/>
  <c r="C41" i="17"/>
  <c r="A41" i="17"/>
  <c r="I32" i="17"/>
  <c r="I31" i="17"/>
  <c r="A40" i="17"/>
  <c r="D37" i="17"/>
  <c r="D29" i="17"/>
  <c r="D30" i="17"/>
  <c r="D31" i="17"/>
  <c r="D32" i="17"/>
  <c r="D33" i="17"/>
  <c r="D34" i="17"/>
  <c r="D35" i="17"/>
  <c r="D36" i="17"/>
  <c r="D28" i="17"/>
  <c r="A25" i="17"/>
  <c r="A24" i="17"/>
  <c r="D21" i="17"/>
  <c r="D16" i="17"/>
  <c r="D17" i="17"/>
  <c r="D18" i="17"/>
  <c r="D19" i="17"/>
  <c r="D20" i="17"/>
  <c r="D15" i="17"/>
  <c r="A10" i="17"/>
  <c r="F6" i="17"/>
  <c r="G6" i="17"/>
  <c r="E6" i="17"/>
  <c r="G4" i="17"/>
  <c r="G5" i="17"/>
  <c r="G3" i="17"/>
  <c r="F5" i="17"/>
  <c r="F4" i="17"/>
  <c r="F3" i="17"/>
  <c r="E5" i="17"/>
  <c r="E4" i="17"/>
  <c r="E3" i="17"/>
  <c r="A25" i="16"/>
  <c r="C23" i="16"/>
  <c r="B22" i="16"/>
  <c r="B21" i="16"/>
  <c r="B20" i="16"/>
  <c r="B19" i="16"/>
  <c r="B14" i="16"/>
  <c r="B12" i="16"/>
  <c r="C13" i="16"/>
  <c r="C12" i="16"/>
  <c r="B13" i="16"/>
  <c r="B11" i="16"/>
  <c r="B10" i="16"/>
  <c r="G7" i="16"/>
  <c r="F7" i="16"/>
  <c r="G5" i="16"/>
  <c r="G6" i="16"/>
  <c r="G4" i="16"/>
  <c r="F5" i="16"/>
  <c r="F6" i="16"/>
  <c r="F4" i="16"/>
  <c r="B108" i="8"/>
  <c r="E107" i="8"/>
  <c r="B107" i="8"/>
  <c r="G44" i="15"/>
  <c r="D44" i="15"/>
  <c r="B44" i="15"/>
  <c r="A42" i="15"/>
  <c r="I30" i="15"/>
  <c r="I31" i="15"/>
  <c r="A41" i="15"/>
  <c r="D38" i="15"/>
  <c r="D30" i="15"/>
  <c r="D31" i="15"/>
  <c r="D32" i="15"/>
  <c r="D33" i="15"/>
  <c r="D34" i="15"/>
  <c r="D35" i="15"/>
  <c r="D36" i="15"/>
  <c r="D37" i="15"/>
  <c r="D29" i="15"/>
  <c r="A25" i="15"/>
  <c r="A24" i="15"/>
  <c r="D16" i="15"/>
  <c r="D17" i="15"/>
  <c r="D18" i="15"/>
  <c r="D19" i="15"/>
  <c r="D20" i="15"/>
  <c r="D15" i="15"/>
  <c r="H4" i="15"/>
  <c r="H5" i="15"/>
  <c r="H3" i="15"/>
  <c r="F3" i="15"/>
  <c r="F4" i="15"/>
  <c r="F5" i="15"/>
  <c r="F6" i="15"/>
  <c r="C6" i="15"/>
  <c r="G6" i="15"/>
  <c r="B6" i="15"/>
  <c r="G4" i="15"/>
  <c r="G5" i="15"/>
  <c r="G3" i="15"/>
  <c r="B47" i="7"/>
  <c r="B24" i="14"/>
  <c r="F22" i="14"/>
  <c r="G22" i="14"/>
  <c r="E22" i="14"/>
  <c r="G21" i="14"/>
  <c r="G20" i="14"/>
  <c r="G19" i="14"/>
  <c r="E21" i="14"/>
  <c r="E20" i="14"/>
  <c r="F21" i="14"/>
  <c r="F20" i="14"/>
  <c r="F19" i="14"/>
  <c r="E19" i="14"/>
  <c r="A14" i="14"/>
  <c r="A15" i="14"/>
  <c r="H8" i="14"/>
  <c r="H7" i="14"/>
  <c r="H5" i="14"/>
  <c r="H6" i="14"/>
  <c r="H4" i="14"/>
  <c r="A13" i="14"/>
  <c r="G5" i="14"/>
  <c r="G6" i="14"/>
  <c r="G4" i="14"/>
  <c r="A11" i="14"/>
  <c r="F5" i="14"/>
  <c r="F6" i="14"/>
  <c r="F4" i="14"/>
  <c r="A24" i="13"/>
  <c r="D35" i="13"/>
  <c r="D34" i="13"/>
  <c r="C35" i="13"/>
  <c r="C34" i="13"/>
  <c r="B35" i="13"/>
  <c r="B34" i="13"/>
  <c r="D33" i="13"/>
  <c r="C33" i="13"/>
  <c r="A25" i="13"/>
  <c r="A23" i="13"/>
  <c r="C20" i="13"/>
  <c r="B19" i="13"/>
  <c r="B18" i="13"/>
  <c r="B17" i="13"/>
  <c r="B16" i="13"/>
  <c r="A12" i="13"/>
  <c r="A11" i="13"/>
  <c r="H7" i="13"/>
  <c r="H4" i="13"/>
  <c r="H5" i="13"/>
  <c r="H6" i="13"/>
  <c r="A10" i="13"/>
  <c r="G7" i="13"/>
  <c r="F7" i="13"/>
  <c r="G5" i="13"/>
  <c r="G6" i="13"/>
  <c r="G4" i="13"/>
  <c r="F5" i="13"/>
  <c r="F6" i="13"/>
  <c r="F4" i="13"/>
  <c r="A25" i="12"/>
  <c r="B41" i="12"/>
  <c r="D38" i="12"/>
  <c r="D33" i="12"/>
  <c r="D34" i="12"/>
  <c r="D35" i="12"/>
  <c r="D36" i="12"/>
  <c r="D37" i="12"/>
  <c r="D32" i="12"/>
  <c r="D22" i="12"/>
  <c r="D17" i="12"/>
  <c r="D18" i="12"/>
  <c r="D19" i="12"/>
  <c r="D20" i="12"/>
  <c r="D21" i="12"/>
  <c r="D16" i="12"/>
  <c r="B13" i="12"/>
  <c r="B11" i="12"/>
  <c r="B12" i="12"/>
  <c r="H7" i="12"/>
  <c r="F7" i="12"/>
  <c r="H5" i="12"/>
  <c r="H6" i="12"/>
  <c r="H4" i="12"/>
  <c r="B92" i="7"/>
  <c r="F88" i="7"/>
  <c r="H88" i="7" s="1"/>
  <c r="F87" i="7"/>
  <c r="H87" i="7" s="1"/>
  <c r="F86" i="7"/>
  <c r="F5" i="12"/>
  <c r="F6" i="12"/>
  <c r="F4" i="12"/>
  <c r="D33" i="11"/>
  <c r="D32" i="11"/>
  <c r="C33" i="11"/>
  <c r="B33" i="11"/>
  <c r="C32" i="11"/>
  <c r="B32" i="11"/>
  <c r="D31" i="11"/>
  <c r="C31" i="11"/>
  <c r="C29" i="11"/>
  <c r="A24" i="11"/>
  <c r="A23" i="11"/>
  <c r="D16" i="11"/>
  <c r="D17" i="11"/>
  <c r="D18" i="11"/>
  <c r="D19" i="11"/>
  <c r="D20" i="11"/>
  <c r="D15" i="11"/>
  <c r="A12" i="11"/>
  <c r="A11" i="11"/>
  <c r="A10" i="11"/>
  <c r="G6" i="11"/>
  <c r="F6" i="11"/>
  <c r="G4" i="11"/>
  <c r="G5" i="11"/>
  <c r="G3" i="11"/>
  <c r="F4" i="11"/>
  <c r="F5" i="11"/>
  <c r="F3" i="11"/>
  <c r="M51" i="7"/>
  <c r="N49" i="7"/>
  <c r="M49" i="7"/>
  <c r="N48" i="7"/>
  <c r="M48" i="7"/>
  <c r="M47" i="7"/>
  <c r="M46" i="7"/>
  <c r="S41" i="7"/>
  <c r="R41" i="7"/>
  <c r="S40" i="7"/>
  <c r="R40" i="7"/>
  <c r="S39" i="7"/>
  <c r="S42" i="7" s="1"/>
  <c r="R39" i="7"/>
  <c r="R42" i="7" s="1"/>
  <c r="C58" i="9"/>
  <c r="B58" i="9"/>
  <c r="C57" i="9"/>
  <c r="B57" i="9"/>
  <c r="C56" i="9"/>
  <c r="C54" i="9"/>
  <c r="B54" i="9"/>
  <c r="B55" i="9"/>
  <c r="A48" i="9"/>
  <c r="C43" i="9"/>
  <c r="A46" i="9"/>
  <c r="B42" i="9"/>
  <c r="B41" i="9"/>
  <c r="B40" i="9"/>
  <c r="B39" i="9"/>
  <c r="H95" i="8"/>
  <c r="K94" i="8"/>
  <c r="G94" i="8"/>
  <c r="G93" i="8"/>
  <c r="A31" i="9"/>
  <c r="A30" i="9"/>
  <c r="A106" i="8"/>
  <c r="E93" i="8"/>
  <c r="E94" i="8"/>
  <c r="E95" i="8"/>
  <c r="E96" i="8"/>
  <c r="E97" i="8"/>
  <c r="E98" i="8"/>
  <c r="E99" i="8"/>
  <c r="E100" i="8"/>
  <c r="E92" i="8"/>
  <c r="B26" i="9"/>
  <c r="B25" i="9"/>
  <c r="B24" i="9"/>
  <c r="B23" i="9"/>
  <c r="B39" i="10"/>
  <c r="C38" i="10"/>
  <c r="B38" i="10"/>
  <c r="C35" i="10"/>
  <c r="B35" i="10"/>
  <c r="B36" i="10"/>
  <c r="B27" i="10"/>
  <c r="B26" i="10"/>
  <c r="B25" i="10"/>
  <c r="E17" i="10"/>
  <c r="E18" i="10"/>
  <c r="E19" i="10"/>
  <c r="E20" i="10"/>
  <c r="E21" i="10"/>
  <c r="E16" i="10"/>
  <c r="A12" i="10"/>
  <c r="A11" i="10"/>
  <c r="A10" i="10"/>
  <c r="G7" i="10"/>
  <c r="F7" i="10"/>
  <c r="G5" i="10"/>
  <c r="G6" i="10"/>
  <c r="G4" i="10"/>
  <c r="F5" i="10"/>
  <c r="F6" i="10"/>
  <c r="F4" i="10"/>
  <c r="D80" i="8"/>
  <c r="B80" i="8"/>
  <c r="H80" i="8"/>
  <c r="D79" i="8"/>
  <c r="C78" i="8"/>
  <c r="A17" i="9"/>
  <c r="B7" i="9"/>
  <c r="A16" i="9"/>
  <c r="A15" i="9"/>
  <c r="A14" i="9"/>
  <c r="B4" i="9"/>
  <c r="B66" i="8"/>
  <c r="B68" i="8" s="1"/>
  <c r="D68" i="8" s="1"/>
  <c r="C68" i="8"/>
  <c r="B65" i="8"/>
  <c r="G57" i="8"/>
  <c r="E57" i="8"/>
  <c r="C55" i="8"/>
  <c r="A58" i="8"/>
  <c r="A57" i="8"/>
  <c r="B54" i="8"/>
  <c r="B53" i="8"/>
  <c r="B52" i="8"/>
  <c r="B51" i="8"/>
  <c r="E43" i="8"/>
  <c r="C43" i="8"/>
  <c r="D42" i="8"/>
  <c r="B42" i="8"/>
  <c r="C33" i="8"/>
  <c r="C31" i="8"/>
  <c r="I27" i="8"/>
  <c r="I26" i="8"/>
  <c r="I25" i="8"/>
  <c r="I24" i="8"/>
  <c r="I23" i="8"/>
  <c r="I28" i="8"/>
  <c r="I22" i="8"/>
  <c r="E28" i="8"/>
  <c r="G28" i="8"/>
  <c r="G27" i="8"/>
  <c r="G26" i="8"/>
  <c r="G25" i="8"/>
  <c r="G24" i="8"/>
  <c r="G23" i="8"/>
  <c r="G22" i="8"/>
  <c r="E23" i="8"/>
  <c r="E24" i="8"/>
  <c r="E25" i="8"/>
  <c r="E26" i="8"/>
  <c r="E27" i="8"/>
  <c r="E22" i="8"/>
  <c r="A16" i="8"/>
  <c r="A15" i="8"/>
  <c r="A14" i="8"/>
  <c r="A13" i="8"/>
  <c r="M29" i="7"/>
  <c r="S21" i="7"/>
  <c r="R21" i="7"/>
  <c r="S20" i="7"/>
  <c r="R20" i="7"/>
  <c r="S19" i="7"/>
  <c r="S22" i="7" s="1"/>
  <c r="R19" i="7"/>
  <c r="R22" i="7" s="1"/>
  <c r="M12" i="7"/>
  <c r="O7" i="7"/>
  <c r="N7" i="7"/>
  <c r="R6" i="7"/>
  <c r="Q6" i="7"/>
  <c r="R5" i="7"/>
  <c r="Q5" i="7"/>
  <c r="R4" i="7"/>
  <c r="R7" i="7" s="1"/>
  <c r="Q4" i="7"/>
  <c r="Q7" i="7" s="1"/>
  <c r="G77" i="7"/>
  <c r="C55" i="7"/>
  <c r="B55" i="7"/>
  <c r="E54" i="7"/>
  <c r="E53" i="7"/>
  <c r="E52" i="7"/>
  <c r="G44" i="7"/>
  <c r="F44" i="7"/>
  <c r="E44" i="7"/>
  <c r="G43" i="7"/>
  <c r="F43" i="7"/>
  <c r="E43" i="7"/>
  <c r="G42" i="7"/>
  <c r="G45" i="7" s="1"/>
  <c r="F42" i="7"/>
  <c r="F45" i="7" s="1"/>
  <c r="E42" i="7"/>
  <c r="E45" i="7" s="1"/>
  <c r="G29" i="7"/>
  <c r="H29" i="7" s="1"/>
  <c r="F29" i="7"/>
  <c r="G28" i="7"/>
  <c r="H28" i="7" s="1"/>
  <c r="F28" i="7"/>
  <c r="G27" i="7"/>
  <c r="F27" i="7"/>
  <c r="F30" i="7" s="1"/>
  <c r="B32" i="7" s="1"/>
  <c r="I16" i="7"/>
  <c r="H16" i="7"/>
  <c r="G16" i="7"/>
  <c r="F16" i="7"/>
  <c r="I15" i="7"/>
  <c r="H15" i="7"/>
  <c r="G15" i="7"/>
  <c r="F15" i="7"/>
  <c r="I14" i="7"/>
  <c r="I17" i="7" s="1"/>
  <c r="H14" i="7"/>
  <c r="H17" i="7" s="1"/>
  <c r="G14" i="7"/>
  <c r="G17" i="7" s="1"/>
  <c r="F14" i="7"/>
  <c r="F17" i="7" s="1"/>
  <c r="G6" i="7"/>
  <c r="H5" i="7"/>
  <c r="G5" i="7"/>
  <c r="F5" i="7"/>
  <c r="H4" i="7"/>
  <c r="G4" i="7"/>
  <c r="F4" i="7"/>
  <c r="H3" i="7"/>
  <c r="H6" i="7" s="1"/>
  <c r="G3" i="7"/>
  <c r="F3" i="7"/>
  <c r="F6" i="7" s="1"/>
  <c r="A10" i="19" l="1"/>
  <c r="F121" i="8"/>
  <c r="H7" i="18"/>
  <c r="A8" i="15"/>
  <c r="F7" i="14"/>
  <c r="G7" i="14"/>
  <c r="A12" i="14" s="1"/>
  <c r="F89" i="7"/>
  <c r="H86" i="7"/>
  <c r="H89" i="7" s="1"/>
  <c r="B93" i="7" s="1"/>
  <c r="B94" i="7" s="1"/>
  <c r="C65" i="8"/>
  <c r="B69" i="8"/>
  <c r="N27" i="7"/>
  <c r="M28" i="7"/>
  <c r="M10" i="7"/>
  <c r="G54" i="7"/>
  <c r="F54" i="7"/>
  <c r="H54" i="7"/>
  <c r="G53" i="7"/>
  <c r="H53" i="7"/>
  <c r="G64" i="7" s="1"/>
  <c r="F53" i="7"/>
  <c r="G52" i="7"/>
  <c r="H52" i="7"/>
  <c r="F52" i="7"/>
  <c r="G30" i="7"/>
  <c r="B33" i="7" s="1"/>
  <c r="H27" i="7"/>
  <c r="H30" i="7" s="1"/>
  <c r="H32" i="7" s="1"/>
  <c r="B36" i="7" s="1"/>
  <c r="C67" i="8" l="1"/>
  <c r="D67" i="8" s="1"/>
  <c r="C69" i="8"/>
  <c r="D69" i="8" s="1"/>
  <c r="F55" i="7"/>
  <c r="G55" i="7"/>
  <c r="G71" i="7" s="1"/>
  <c r="B35" i="7"/>
  <c r="B34" i="7"/>
  <c r="G68" i="7" l="1"/>
  <c r="E61" i="7"/>
  <c r="F36" i="21"/>
  <c r="B39" i="21" l="1"/>
</calcChain>
</file>

<file path=xl/sharedStrings.xml><?xml version="1.0" encoding="utf-8"?>
<sst xmlns="http://schemas.openxmlformats.org/spreadsheetml/2006/main" count="746" uniqueCount="234">
  <si>
    <t>Összesen</t>
  </si>
  <si>
    <t>Perec</t>
  </si>
  <si>
    <t>q1p0</t>
  </si>
  <si>
    <t>q0p1</t>
  </si>
  <si>
    <t>ip</t>
  </si>
  <si>
    <t>iq</t>
  </si>
  <si>
    <t>Nachos</t>
  </si>
  <si>
    <t>Üdítőital</t>
  </si>
  <si>
    <t>Termék</t>
  </si>
  <si>
    <t>Eladási forgalom az </t>
  </si>
  <si>
    <t>Árváltozás,%</t>
  </si>
  <si>
    <t>Volumenváltozás,%</t>
  </si>
  <si>
    <t>I. negyedévben, millió Ft</t>
  </si>
  <si>
    <t>I. negyedévről</t>
  </si>
  <si>
    <t> a II. negyedévre</t>
  </si>
  <si>
    <t>Tortaforma</t>
  </si>
  <si>
    <t>Ecset</t>
  </si>
  <si>
    <t>Habverő</t>
  </si>
  <si>
    <t>Nógrád</t>
  </si>
  <si>
    <t>Vas</t>
  </si>
  <si>
    <t>Fenyő</t>
  </si>
  <si>
    <t>Átlagár</t>
  </si>
  <si>
    <t>(E Ft)</t>
  </si>
  <si>
    <t>Forgalom</t>
  </si>
  <si>
    <t>megoszlása (%)</t>
  </si>
  <si>
    <t>Luc</t>
  </si>
  <si>
    <t>Ezüst</t>
  </si>
  <si>
    <t>Nordmann</t>
  </si>
  <si>
    <t>összesen</t>
  </si>
  <si>
    <t>Bűneset</t>
  </si>
  <si>
    <t>Összes anyagi kár </t>
  </si>
  <si>
    <t>Egy bűnesetre jutó átlagos</t>
  </si>
  <si>
    <t>fajtája</t>
  </si>
  <si>
    <t>anyagi kár értéke (eFt)</t>
  </si>
  <si>
    <t>2021.</t>
  </si>
  <si>
    <t>2020.</t>
  </si>
  <si>
    <t>Betöréses rablás</t>
  </si>
  <si>
    <t>Fegyveres rablás</t>
  </si>
  <si>
    <t>Erőszakos bűneset</t>
  </si>
  <si>
    <t>V0</t>
  </si>
  <si>
    <t>V1</t>
  </si>
  <si>
    <t>masodik negyed</t>
  </si>
  <si>
    <t>nograd real</t>
  </si>
  <si>
    <t>vas real</t>
  </si>
  <si>
    <t>nograd fiktiv</t>
  </si>
  <si>
    <t>vas fiktiv</t>
  </si>
  <si>
    <t>atlag 2020</t>
  </si>
  <si>
    <t>atlag 2021</t>
  </si>
  <si>
    <t>fiktiv 2021</t>
  </si>
  <si>
    <t>atlag kar I'</t>
  </si>
  <si>
    <t>egy bun I</t>
  </si>
  <si>
    <t>I"</t>
  </si>
  <si>
    <t>Forgalom a II.</t>
  </si>
  <si>
    <t>félévben, millió Ft</t>
  </si>
  <si>
    <t>Árváltozás</t>
  </si>
  <si>
    <t>I. félévről a II. félévre, % </t>
  </si>
  <si>
    <t>Volumenváltozás</t>
  </si>
  <si>
    <t>I. félévről a II. félévre, %</t>
  </si>
  <si>
    <t>Kapa</t>
  </si>
  <si>
    <t>Ásó</t>
  </si>
  <si>
    <t>Gereblye</t>
  </si>
  <si>
    <t>1felev</t>
  </si>
  <si>
    <t> Megnevezés</t>
  </si>
  <si>
    <t>Árbevétel (millió Ft)</t>
  </si>
  <si>
    <t>Volumenindex</t>
  </si>
  <si>
    <t>májusban folyóáron</t>
  </si>
  <si>
    <t>júliusban folyóáron</t>
  </si>
  <si>
    <t>(%)</t>
  </si>
  <si>
    <t>Sör</t>
  </si>
  <si>
    <t>Energiaital</t>
  </si>
  <si>
    <t>össz:</t>
  </si>
  <si>
    <t>iq(%)</t>
  </si>
  <si>
    <t>A büfé teljes árbevétele júliusban </t>
  </si>
  <si>
    <t> millió forint volt májusi árakon számolva.</t>
  </si>
  <si>
    <t>A büfé árbevétele üdítőital értékesítésből 
annak árváltozása következtében  százalékkal nőtt.</t>
  </si>
  <si>
    <t>Júliusra a büfé árbevétele </t>
  </si>
  <si>
    <t> millió forinttal növekedett az árváltozás következtében,</t>
  </si>
  <si>
    <t>tárgyidőszaki súlyozással számolva.
Július havi árakon számolva a büfé árbevétele 
Válasz
 millió forinttal növekedett júliusban az értékesítési volumen változása következtében</t>
  </si>
  <si>
    <t>A büfé árbevétele energiaital értékesítésből </t>
  </si>
  <si>
    <t> ezer forinttal (egész szám) csökkent júliusban májushoz képest.</t>
  </si>
  <si>
    <t>Normál péntek</t>
  </si>
  <si>
    <t>Black Friday</t>
  </si>
  <si>
    <t>Árváltozás (%)</t>
  </si>
  <si>
    <t>árbevétele (Ft)</t>
  </si>
  <si>
    <t>(normál péntek = 100%)</t>
  </si>
  <si>
    <t>TV</t>
  </si>
  <si>
    <t>Mosógép</t>
  </si>
  <si>
    <t>Okostelefon</t>
  </si>
  <si>
    <t>Értékesítési </t>
  </si>
  <si>
    <t>forgalom, ezer Ft</t>
  </si>
  <si>
    <t>Árváltozás, %</t>
  </si>
  <si>
    <t>I. negyedév</t>
  </si>
  <si>
    <t>II. negyedév</t>
  </si>
  <si>
    <t>I.-ről a II. negyedévre</t>
  </si>
  <si>
    <t>Pattogatott kukorica</t>
  </si>
  <si>
    <t>perec forgalom</t>
  </si>
  <si>
    <t>kp0</t>
  </si>
  <si>
    <t>Év</t>
  </si>
  <si>
    <t>Felvételizők száma</t>
  </si>
  <si>
    <t>(ezer fő)</t>
  </si>
  <si>
    <t>Változás (%)</t>
  </si>
  <si>
    <t>2011=100%</t>
  </si>
  <si>
    <t>Előző év=100%</t>
  </si>
  <si>
    <t>Változás előző évhez</t>
  </si>
  <si>
    <t>képest (ezer fő)</t>
  </si>
  <si>
    <t>Elköltött összeg (ezer Ft)</t>
  </si>
  <si>
    <t>Vevők száma (fő)</t>
  </si>
  <si>
    <t>20,1 - 30</t>
  </si>
  <si>
    <t>30,1 - 40</t>
  </si>
  <si>
    <t>40,1 - 50</t>
  </si>
  <si>
    <t>50,1 - 60</t>
  </si>
  <si>
    <t>60,1 -</t>
  </si>
  <si>
    <t>Összesen:</t>
  </si>
  <si>
    <t>kozep</t>
  </si>
  <si>
    <t>ertekosszeg</t>
  </si>
  <si>
    <t>kumulalt vevo</t>
  </si>
  <si>
    <t>kumulalt összeg</t>
  </si>
  <si>
    <t>legalabb 30000</t>
  </si>
  <si>
    <t>max 40000</t>
  </si>
  <si>
    <t>Orvosok</t>
  </si>
  <si>
    <t>száma (fő)</t>
  </si>
  <si>
    <t>Lakosok</t>
  </si>
  <si>
    <t>1 orvosra jutó</t>
  </si>
  <si>
    <t>lakosok száma</t>
  </si>
  <si>
    <t>1000 lakosra jutó</t>
  </si>
  <si>
    <t>orvosok száma</t>
  </si>
  <si>
    <t>Baranya</t>
  </si>
  <si>
    <t>Somogy</t>
  </si>
  <si>
    <t>Darab</t>
  </si>
  <si>
    <t>2016=100%</t>
  </si>
  <si>
    <t>Megnevezés</t>
  </si>
  <si>
    <t>I. félév</t>
  </si>
  <si>
    <t>II. félév</t>
  </si>
  <si>
    <t>Változás (%);</t>
  </si>
  <si>
    <t>I. félév=100%</t>
  </si>
  <si>
    <t>Termelés mennyisége (db)</t>
  </si>
  <si>
    <t>Fizikai dolgozók létszáma (fő)</t>
  </si>
  <si>
    <t>Foglalkoztatottak száma (fő)</t>
  </si>
  <si>
    <t>Fizikaiak aránya (%)</t>
  </si>
  <si>
    <t>Egy foglalkoztatottra jutó termelés (db/fő)</t>
  </si>
  <si>
    <t>Egy fizikaira jutó termelés (db/fő)</t>
  </si>
  <si>
    <t>vagy</t>
  </si>
  <si>
    <t>Népesség (fő)</t>
  </si>
  <si>
    <t>Élveszületések száma</t>
  </si>
  <si>
    <t>1000 főre jutó élveszületések száma</t>
  </si>
  <si>
    <t>15-49 éves kor közötti nők aránya</t>
  </si>
  <si>
    <t>a népességen belül (%)</t>
  </si>
  <si>
    <t>15-49 éves kor közötti nők száma (fő)</t>
  </si>
  <si>
    <t>1000 15-49 éves kor közötti nőre jutó</t>
  </si>
  <si>
    <t>élveszületések száma</t>
  </si>
  <si>
    <t>Beruházás </t>
  </si>
  <si>
    <t>1 főre jutó beruházás </t>
  </si>
  <si>
    <t>helye</t>
  </si>
  <si>
    <t>értéke (mFt/fő)</t>
  </si>
  <si>
    <t>értéke (%)</t>
  </si>
  <si>
    <t>Központ</t>
  </si>
  <si>
    <t>A telep</t>
  </si>
  <si>
    <t>B telep</t>
  </si>
  <si>
    <t>…</t>
  </si>
  <si>
    <t>köztes</t>
  </si>
  <si>
    <t>max 50</t>
  </si>
  <si>
    <t>30-40</t>
  </si>
  <si>
    <t>legalabb20</t>
  </si>
  <si>
    <t>150,1 - 180</t>
  </si>
  <si>
    <t>180,1 - 210</t>
  </si>
  <si>
    <t>210,1 - 240</t>
  </si>
  <si>
    <t>240,1 - 270</t>
  </si>
  <si>
    <t>270,1 - 300</t>
  </si>
  <si>
    <t>300,1 - 330</t>
  </si>
  <si>
    <t>330,1 - 360</t>
  </si>
  <si>
    <t>360,1 -</t>
  </si>
  <si>
    <t>ez a median</t>
  </si>
  <si>
    <t>Q1</t>
  </si>
  <si>
    <t>Q2</t>
  </si>
  <si>
    <t>A0</t>
  </si>
  <si>
    <t>A1</t>
  </si>
  <si>
    <t>B0</t>
  </si>
  <si>
    <t>B1</t>
  </si>
  <si>
    <t>Képzettség</t>
  </si>
  <si>
    <t>Bázis</t>
  </si>
  <si>
    <t>időszak</t>
  </si>
  <si>
    <t>Tárgy</t>
  </si>
  <si>
    <t>Létszám,</t>
  </si>
  <si>
    <t>Fő</t>
  </si>
  <si>
    <t>Lebonyolított</t>
  </si>
  <si>
    <t>tranzakció, M FT</t>
  </si>
  <si>
    <t>Felsőfokú végzettség</t>
  </si>
  <si>
    <t>Érettségi+OKJ </t>
  </si>
  <si>
    <t>Csak érettségi</t>
  </si>
  <si>
    <t>bazis</t>
  </si>
  <si>
    <t>I</t>
  </si>
  <si>
    <t>az I</t>
  </si>
  <si>
    <t>I'</t>
  </si>
  <si>
    <t>az I'</t>
  </si>
  <si>
    <t>AZ I"</t>
  </si>
  <si>
    <t>Elköltött összeg (Ft)</t>
  </si>
  <si>
    <t>Vásárlók száma (fő)</t>
  </si>
  <si>
    <t>3000 - 4000</t>
  </si>
  <si>
    <t>4001 - 5000</t>
  </si>
  <si>
    <t>5001 - 6000</t>
  </si>
  <si>
    <t>6001 - 7000</t>
  </si>
  <si>
    <t>7001 - 8000</t>
  </si>
  <si>
    <t>8001 - 9000</t>
  </si>
  <si>
    <t>ATLAGOS KÖLTES</t>
  </si>
  <si>
    <t>targy</t>
  </si>
  <si>
    <t>k</t>
  </si>
  <si>
    <t>IP0</t>
  </si>
  <si>
    <t>Fizetés (ezer Ft)</t>
  </si>
  <si>
    <t>Dolgozók száma (fő)</t>
  </si>
  <si>
    <t>F mutato</t>
  </si>
  <si>
    <t>250-210</t>
  </si>
  <si>
    <t>és</t>
  </si>
  <si>
    <t>293-250</t>
  </si>
  <si>
    <t>aztan</t>
  </si>
  <si>
    <t>42-40/293-210</t>
  </si>
  <si>
    <t>q3-M</t>
  </si>
  <si>
    <t>M-q1</t>
  </si>
  <si>
    <t>atlag2020</t>
  </si>
  <si>
    <t>atlag2021</t>
  </si>
  <si>
    <t>1fö I</t>
  </si>
  <si>
    <t>atlagos beru</t>
  </si>
  <si>
    <t>2felev</t>
  </si>
  <si>
    <t>lköltött összeg (ezer Ft)</t>
  </si>
  <si>
    <t>q1</t>
  </si>
  <si>
    <t>m</t>
  </si>
  <si>
    <t>q3</t>
  </si>
  <si>
    <t>az I"</t>
  </si>
  <si>
    <t>Találati pontok</t>
  </si>
  <si>
    <t>Hallgatók száma (fő)</t>
  </si>
  <si>
    <t>-</t>
  </si>
  <si>
    <t>atlag</t>
  </si>
  <si>
    <t>szorás</t>
  </si>
  <si>
    <t>tipikus</t>
  </si>
  <si>
    <t>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</si>
</sst>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2" x14ac:knownFonts="1">
    <font>
      <sz val="11"/>
      <color theme="1"/>
      <name val="Aptos Narrow"/>
      <family val="2"/>
      <charset val="238"/>
      <scheme val="minor"/>
    </font>
    <font>
      <sz val="8"/>
      <color theme="1"/>
      <name val="Roboto"/>
    </font>
    <font>
      <sz val="11"/>
      <color theme="1"/>
      <name val="Aptos Narrow"/>
      <family val="2"/>
      <charset val="238"/>
      <scheme val="minor"/>
    </font>
    <font>
      <sz val="8"/>
      <color theme="1"/>
      <name val="Roboto"/>
    </font>
    <font>
      <sz val="10"/>
      <color theme="1"/>
      <name val="Roboto"/>
    </font>
    <font>
      <sz val="8"/>
      <color theme="1"/>
      <name val="Roboto"/>
    </font>
    <font>
      <sz val="8"/>
      <color rgb="FFFF0000"/>
      <name val="Roboto"/>
    </font>
    <font>
      <sz val="14"/>
      <color theme="1"/>
      <name val="Roboto"/>
    </font>
    <font>
      <sz val="16"/>
      <color theme="1"/>
      <name val="Aptos Narrow"/>
      <family val="2"/>
      <charset val="238"/>
      <scheme val="minor"/>
    </font>
    <font>
      <b/>
      <i/>
      <sz val="14"/>
      <color rgb="FFFF0000"/>
      <name val="Aptos Narrow"/>
      <family val="2"/>
      <scheme val="minor"/>
    </font>
    <font>
      <sz val="8"/>
      <color theme="1"/>
      <name val="Roboto"/>
    </font>
    <font>
      <sz val="8"/>
      <name val="Aptos Narrow"/>
      <family val="2"/>
      <charset val="23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EA1FF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1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0" fillId="2" borderId="0" xfId="0" applyFill="1"/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4" borderId="0" xfId="0" applyFill="1"/>
    <xf numFmtId="0" fontId="0" fillId="3" borderId="0" xfId="0" applyFill="1"/>
    <xf numFmtId="0" fontId="4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3" fontId="5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0" fontId="1" fillId="2" borderId="4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6" fillId="3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7" fillId="0" borderId="5" xfId="0" applyFont="1" applyBorder="1"/>
    <xf numFmtId="0" fontId="0" fillId="0" borderId="5" xfId="0" applyBorder="1"/>
    <xf numFmtId="0" fontId="8" fillId="0" borderId="5" xfId="0" applyFont="1" applyBorder="1"/>
    <xf numFmtId="0" fontId="0" fillId="5" borderId="5" xfId="0" applyFill="1" applyBorder="1"/>
    <xf numFmtId="2" fontId="0" fillId="5" borderId="5" xfId="0" applyNumberFormat="1" applyFill="1" applyBorder="1"/>
    <xf numFmtId="0" fontId="0" fillId="6" borderId="5" xfId="0" applyFill="1" applyBorder="1"/>
    <xf numFmtId="2" fontId="0" fillId="6" borderId="5" xfId="0" applyNumberFormat="1" applyFill="1" applyBorder="1"/>
    <xf numFmtId="0" fontId="9" fillId="0" borderId="5" xfId="0" applyFont="1" applyBorder="1"/>
    <xf numFmtId="164" fontId="0" fillId="7" borderId="0" xfId="0" applyNumberFormat="1" applyFill="1"/>
    <xf numFmtId="2" fontId="0" fillId="0" borderId="0" xfId="0" applyNumberFormat="1"/>
    <xf numFmtId="2" fontId="0" fillId="7" borderId="0" xfId="0" applyNumberFormat="1" applyFill="1"/>
    <xf numFmtId="0" fontId="0" fillId="7" borderId="0" xfId="0" applyFill="1"/>
    <xf numFmtId="9" fontId="0" fillId="7" borderId="0" xfId="0" applyNumberFormat="1" applyFill="1"/>
    <xf numFmtId="0" fontId="1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0" fontId="5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43" fontId="4" fillId="0" borderId="0" xfId="1" applyFont="1" applyAlignment="1">
      <alignment horizontal="left" wrapText="1"/>
    </xf>
    <xf numFmtId="0" fontId="4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vertical="center" wrapText="1"/>
    </xf>
    <xf numFmtId="3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10" fillId="2" borderId="2" xfId="0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center" vertical="center" wrapText="1"/>
    </xf>
  </cellXfs>
  <cellStyles count="2">
    <cellStyle name="Ezres" xfId="1" builtinId="3"/>
    <cellStyle name="Normál" xfId="0" builtinId="0"/>
  </cellStyles>
  <dxfs count="0"/>
  <tableStyles count="0" defaultTableStyle="TableStyleMedium2" defaultPivotStyle="PivotStyleLight16"/>
  <colors>
    <mruColors>
      <color rgb="FF9EA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B3045-CCEB-4AC0-82CD-2D6F27CBB6A7}">
  <dimension ref="A1:L122"/>
  <sheetViews>
    <sheetView topLeftCell="A99" workbookViewId="0">
      <selection activeCell="H114" sqref="H114"/>
    </sheetView>
  </sheetViews>
  <sheetFormatPr defaultRowHeight="14.4" x14ac:dyDescent="0.3"/>
  <sheetData>
    <row r="1" spans="1:5" ht="20.399999999999999" x14ac:dyDescent="0.3">
      <c r="A1" s="53" t="s">
        <v>97</v>
      </c>
      <c r="B1" s="19" t="s">
        <v>98</v>
      </c>
      <c r="C1" s="19" t="s">
        <v>100</v>
      </c>
      <c r="D1" s="19" t="s">
        <v>100</v>
      </c>
      <c r="E1" s="19" t="s">
        <v>103</v>
      </c>
    </row>
    <row r="2" spans="1:5" ht="21" thickBot="1" x14ac:dyDescent="0.35">
      <c r="A2" s="54"/>
      <c r="B2" s="20" t="s">
        <v>99</v>
      </c>
      <c r="C2" s="20" t="s">
        <v>101</v>
      </c>
      <c r="D2" s="20" t="s">
        <v>102</v>
      </c>
      <c r="E2" s="20" t="s">
        <v>104</v>
      </c>
    </row>
    <row r="3" spans="1:5" ht="15" thickBot="1" x14ac:dyDescent="0.35">
      <c r="A3" s="21">
        <v>2011</v>
      </c>
      <c r="B3" s="22">
        <v>62</v>
      </c>
      <c r="C3" s="21"/>
      <c r="D3" s="21"/>
      <c r="E3" s="21"/>
    </row>
    <row r="4" spans="1:5" ht="15" thickBot="1" x14ac:dyDescent="0.35">
      <c r="A4" s="21">
        <v>2012</v>
      </c>
      <c r="B4" s="21"/>
      <c r="C4" s="22">
        <v>96.774000000000001</v>
      </c>
      <c r="D4" s="21"/>
      <c r="E4" s="21"/>
    </row>
    <row r="5" spans="1:5" ht="15" thickBot="1" x14ac:dyDescent="0.35">
      <c r="A5" s="21">
        <v>2013</v>
      </c>
      <c r="B5" s="22">
        <v>59</v>
      </c>
      <c r="C5" s="21"/>
      <c r="D5" s="21"/>
      <c r="E5" s="22">
        <v>-1</v>
      </c>
    </row>
    <row r="6" spans="1:5" ht="15" thickBot="1" x14ac:dyDescent="0.35">
      <c r="A6" s="21">
        <v>2014</v>
      </c>
      <c r="B6" s="21"/>
      <c r="C6" s="21"/>
      <c r="D6" s="21"/>
      <c r="E6" s="22">
        <v>0.5</v>
      </c>
    </row>
    <row r="7" spans="1:5" ht="15" thickBot="1" x14ac:dyDescent="0.35">
      <c r="A7" s="21">
        <v>2015</v>
      </c>
      <c r="B7" s="21"/>
      <c r="C7" s="21"/>
      <c r="D7" s="22">
        <v>102.521</v>
      </c>
      <c r="E7" s="21"/>
    </row>
    <row r="8" spans="1:5" ht="15" thickBot="1" x14ac:dyDescent="0.35">
      <c r="A8" s="21">
        <v>2016</v>
      </c>
      <c r="B8" s="22">
        <v>61</v>
      </c>
      <c r="C8" s="21"/>
      <c r="D8" s="21"/>
      <c r="E8" s="21"/>
    </row>
    <row r="9" spans="1:5" ht="15" thickBot="1" x14ac:dyDescent="0.35">
      <c r="A9" s="21">
        <v>2017</v>
      </c>
      <c r="B9" s="21"/>
      <c r="C9" s="22">
        <v>100</v>
      </c>
      <c r="D9" s="21"/>
      <c r="E9" s="21"/>
    </row>
    <row r="10" spans="1:5" ht="15" thickBot="1" x14ac:dyDescent="0.35">
      <c r="A10" s="21">
        <v>2018</v>
      </c>
      <c r="B10" s="21"/>
      <c r="C10" s="21"/>
      <c r="D10" s="21"/>
      <c r="E10" s="22">
        <v>1.5</v>
      </c>
    </row>
    <row r="13" spans="1:5" x14ac:dyDescent="0.3">
      <c r="A13">
        <f>ROUND(B3*(C4/100)*1000, 0)</f>
        <v>60000</v>
      </c>
    </row>
    <row r="14" spans="1:5" x14ac:dyDescent="0.3">
      <c r="A14">
        <f>100-C4</f>
        <v>3.2259999999999991</v>
      </c>
    </row>
    <row r="15" spans="1:5" x14ac:dyDescent="0.3">
      <c r="A15">
        <f>100-((B5+E6)/B3)*100</f>
        <v>4.0322580645161281</v>
      </c>
    </row>
    <row r="16" spans="1:5" x14ac:dyDescent="0.3">
      <c r="A16">
        <f>(((B3*(C9/100))+E10)/B3)*100</f>
        <v>102.41935483870968</v>
      </c>
    </row>
    <row r="20" spans="1:9" ht="15" thickBot="1" x14ac:dyDescent="0.35"/>
    <row r="21" spans="1:9" ht="31.2" thickBot="1" x14ac:dyDescent="0.35">
      <c r="A21" s="22" t="s">
        <v>105</v>
      </c>
      <c r="B21" s="22" t="s">
        <v>106</v>
      </c>
      <c r="D21" t="s">
        <v>113</v>
      </c>
      <c r="E21" t="s">
        <v>114</v>
      </c>
      <c r="G21" t="s">
        <v>115</v>
      </c>
      <c r="I21" t="s">
        <v>116</v>
      </c>
    </row>
    <row r="22" spans="1:9" ht="15" thickBot="1" x14ac:dyDescent="0.35">
      <c r="A22" s="22">
        <v>-20</v>
      </c>
      <c r="B22" s="22">
        <v>11</v>
      </c>
      <c r="D22">
        <v>15</v>
      </c>
      <c r="E22">
        <f>B22*D22</f>
        <v>165</v>
      </c>
      <c r="G22">
        <f>B22/B28</f>
        <v>6.7484662576687116E-2</v>
      </c>
      <c r="I22">
        <f>E22/E28</f>
        <v>2.3861171366594359E-2</v>
      </c>
    </row>
    <row r="23" spans="1:9" ht="15" thickBot="1" x14ac:dyDescent="0.35">
      <c r="A23" s="22" t="s">
        <v>107</v>
      </c>
      <c r="B23" s="22">
        <v>27</v>
      </c>
      <c r="D23">
        <v>25</v>
      </c>
      <c r="E23">
        <f t="shared" ref="E23:E27" si="0">B23*D23</f>
        <v>675</v>
      </c>
      <c r="G23">
        <f>B23/B28</f>
        <v>0.16564417177914109</v>
      </c>
      <c r="I23">
        <f>E23/E28</f>
        <v>9.7613882863340565E-2</v>
      </c>
    </row>
    <row r="24" spans="1:9" ht="15" thickBot="1" x14ac:dyDescent="0.35">
      <c r="A24" s="22" t="s">
        <v>108</v>
      </c>
      <c r="B24" s="22">
        <v>31</v>
      </c>
      <c r="D24">
        <v>35</v>
      </c>
      <c r="E24">
        <f t="shared" si="0"/>
        <v>1085</v>
      </c>
      <c r="G24">
        <f>B24/B28</f>
        <v>0.19018404907975461</v>
      </c>
      <c r="I24">
        <f>E24/E28</f>
        <v>0.15690527838033261</v>
      </c>
    </row>
    <row r="25" spans="1:9" ht="15" thickBot="1" x14ac:dyDescent="0.35">
      <c r="A25" s="22" t="s">
        <v>109</v>
      </c>
      <c r="B25" s="22">
        <v>40</v>
      </c>
      <c r="D25">
        <v>45</v>
      </c>
      <c r="E25">
        <f t="shared" si="0"/>
        <v>1800</v>
      </c>
      <c r="G25">
        <f>B25/B28</f>
        <v>0.24539877300613497</v>
      </c>
      <c r="I25">
        <f>E25/E28</f>
        <v>0.26030368763557482</v>
      </c>
    </row>
    <row r="26" spans="1:9" ht="15" thickBot="1" x14ac:dyDescent="0.35">
      <c r="A26" s="22" t="s">
        <v>110</v>
      </c>
      <c r="B26" s="22">
        <v>32</v>
      </c>
      <c r="D26">
        <v>55</v>
      </c>
      <c r="E26">
        <f t="shared" si="0"/>
        <v>1760</v>
      </c>
      <c r="G26">
        <f>B26/B28</f>
        <v>0.19631901840490798</v>
      </c>
      <c r="I26">
        <f>E26/E28</f>
        <v>0.25451916124367319</v>
      </c>
    </row>
    <row r="27" spans="1:9" ht="15" thickBot="1" x14ac:dyDescent="0.35">
      <c r="A27" s="21" t="s">
        <v>111</v>
      </c>
      <c r="B27" s="22">
        <v>22</v>
      </c>
      <c r="D27">
        <v>65</v>
      </c>
      <c r="E27">
        <f t="shared" si="0"/>
        <v>1430</v>
      </c>
      <c r="G27">
        <f>B27/B28</f>
        <v>0.13496932515337423</v>
      </c>
      <c r="I27">
        <f>E27/E28</f>
        <v>0.20679681851048445</v>
      </c>
    </row>
    <row r="28" spans="1:9" ht="15" thickBot="1" x14ac:dyDescent="0.35">
      <c r="A28" s="21" t="s">
        <v>112</v>
      </c>
      <c r="B28" s="22">
        <v>163</v>
      </c>
      <c r="E28">
        <f t="shared" ref="E28" si="1">SUM(E22:E27)</f>
        <v>6915</v>
      </c>
      <c r="G28">
        <f>SUM(G22:G27)</f>
        <v>1</v>
      </c>
      <c r="I28">
        <f t="shared" ref="I28" si="2">SUM(I22:I27)</f>
        <v>1</v>
      </c>
    </row>
    <row r="31" spans="1:9" x14ac:dyDescent="0.3">
      <c r="A31" t="s">
        <v>117</v>
      </c>
      <c r="C31">
        <f>(E24+E25+E26+E27)*1000</f>
        <v>6075000</v>
      </c>
    </row>
    <row r="33" spans="1:5" x14ac:dyDescent="0.3">
      <c r="A33" t="s">
        <v>118</v>
      </c>
      <c r="C33">
        <f>(B22+B23+B24)/B28</f>
        <v>0.42331288343558282</v>
      </c>
    </row>
    <row r="39" spans="1:5" ht="15" thickBot="1" x14ac:dyDescent="0.35"/>
    <row r="40" spans="1:5" ht="20.399999999999999" x14ac:dyDescent="0.3">
      <c r="B40" s="23" t="s">
        <v>119</v>
      </c>
      <c r="C40" s="23" t="s">
        <v>121</v>
      </c>
      <c r="D40" s="23" t="s">
        <v>122</v>
      </c>
      <c r="E40" s="23" t="s">
        <v>124</v>
      </c>
    </row>
    <row r="41" spans="1:5" ht="21" thickBot="1" x14ac:dyDescent="0.35">
      <c r="B41" s="24" t="s">
        <v>120</v>
      </c>
      <c r="C41" s="24" t="s">
        <v>120</v>
      </c>
      <c r="D41" s="24" t="s">
        <v>123</v>
      </c>
      <c r="E41" s="24" t="s">
        <v>125</v>
      </c>
    </row>
    <row r="42" spans="1:5" ht="15" thickBot="1" x14ac:dyDescent="0.35">
      <c r="A42" s="25" t="s">
        <v>126</v>
      </c>
      <c r="B42" s="11">
        <f>(C42/1000)*E42</f>
        <v>2067.8040000000001</v>
      </c>
      <c r="C42" s="26">
        <v>172317</v>
      </c>
      <c r="D42" s="28">
        <f>1000/E42</f>
        <v>83.333333333333329</v>
      </c>
      <c r="E42" s="27">
        <v>12</v>
      </c>
    </row>
    <row r="43" spans="1:5" ht="15" thickBot="1" x14ac:dyDescent="0.35">
      <c r="A43" s="25" t="s">
        <v>127</v>
      </c>
      <c r="B43" s="27">
        <v>916</v>
      </c>
      <c r="C43" s="28">
        <f>B43*D43</f>
        <v>144728</v>
      </c>
      <c r="D43" s="27">
        <v>158</v>
      </c>
      <c r="E43" s="28">
        <f>(B43/C43)*1000</f>
        <v>6.3291139240506329</v>
      </c>
    </row>
    <row r="48" spans="1:5" ht="15" thickBot="1" x14ac:dyDescent="0.35"/>
    <row r="49" spans="1:7" ht="15" thickBot="1" x14ac:dyDescent="0.35">
      <c r="A49" s="21" t="s">
        <v>97</v>
      </c>
      <c r="B49" s="22" t="s">
        <v>128</v>
      </c>
      <c r="C49" s="22" t="s">
        <v>129</v>
      </c>
      <c r="D49" t="s">
        <v>5</v>
      </c>
    </row>
    <row r="50" spans="1:7" ht="15" thickBot="1" x14ac:dyDescent="0.35">
      <c r="A50" s="21">
        <v>2016</v>
      </c>
      <c r="B50" s="22">
        <v>128591</v>
      </c>
      <c r="C50" s="29">
        <v>1</v>
      </c>
      <c r="D50">
        <v>100</v>
      </c>
    </row>
    <row r="51" spans="1:7" ht="15" thickBot="1" x14ac:dyDescent="0.35">
      <c r="A51" s="21">
        <v>2017</v>
      </c>
      <c r="B51" s="32">
        <f>ROUND(B50*D51,0)</f>
        <v>124862</v>
      </c>
      <c r="C51" s="29">
        <v>0.97099999999999997</v>
      </c>
      <c r="D51">
        <v>0.97099999999999997</v>
      </c>
    </row>
    <row r="52" spans="1:7" ht="15" thickBot="1" x14ac:dyDescent="0.35">
      <c r="A52" s="21">
        <v>2018</v>
      </c>
      <c r="B52" s="32">
        <f>ROUND(B50*D52,0)</f>
        <v>121647</v>
      </c>
      <c r="C52" s="29">
        <v>0.94599999999999995</v>
      </c>
      <c r="D52">
        <v>0.94599999999999995</v>
      </c>
    </row>
    <row r="53" spans="1:7" ht="15" thickBot="1" x14ac:dyDescent="0.35">
      <c r="A53" s="21">
        <v>2019</v>
      </c>
      <c r="B53" s="32">
        <f>ROUND(B50*D53,0)</f>
        <v>120618</v>
      </c>
      <c r="C53" s="29">
        <v>0.93799999999999994</v>
      </c>
      <c r="D53">
        <v>0.93799999999999994</v>
      </c>
    </row>
    <row r="54" spans="1:7" ht="15" thickBot="1" x14ac:dyDescent="0.35">
      <c r="A54" s="21">
        <v>2020</v>
      </c>
      <c r="B54" s="32">
        <f>ROUND(B50*D54,0)</f>
        <v>115603</v>
      </c>
      <c r="C54" s="29">
        <v>0.89900000000000002</v>
      </c>
      <c r="D54">
        <v>0.89900000000000002</v>
      </c>
    </row>
    <row r="55" spans="1:7" ht="15" thickBot="1" x14ac:dyDescent="0.35">
      <c r="A55" s="21">
        <v>2021</v>
      </c>
      <c r="B55" s="22">
        <v>110650</v>
      </c>
      <c r="C55" s="32">
        <f>B55/B50</f>
        <v>0.86048012691401421</v>
      </c>
    </row>
    <row r="57" spans="1:7" x14ac:dyDescent="0.3">
      <c r="A57">
        <f>100-(1-C55)*100</f>
        <v>86.048012691401425</v>
      </c>
      <c r="E57">
        <f>100-(B55/B54)*100</f>
        <v>4.2844908869147105</v>
      </c>
      <c r="F57" t="s">
        <v>141</v>
      </c>
      <c r="G57">
        <f>100-(C55/D54)*100</f>
        <v>4.2847467281408029</v>
      </c>
    </row>
    <row r="58" spans="1:7" x14ac:dyDescent="0.3">
      <c r="A58">
        <f>(D54-C55)*100</f>
        <v>3.8519873085985812</v>
      </c>
    </row>
    <row r="61" spans="1:7" ht="15" thickBot="1" x14ac:dyDescent="0.35"/>
    <row r="62" spans="1:7" ht="20.399999999999999" x14ac:dyDescent="0.3">
      <c r="A62" s="51" t="s">
        <v>130</v>
      </c>
      <c r="B62" s="55" t="s">
        <v>131</v>
      </c>
      <c r="C62" s="55" t="s">
        <v>132</v>
      </c>
      <c r="D62" s="23" t="s">
        <v>133</v>
      </c>
    </row>
    <row r="63" spans="1:7" ht="21" thickBot="1" x14ac:dyDescent="0.35">
      <c r="A63" s="52"/>
      <c r="B63" s="56"/>
      <c r="C63" s="56"/>
      <c r="D63" s="24" t="s">
        <v>134</v>
      </c>
    </row>
    <row r="64" spans="1:7" ht="31.2" thickBot="1" x14ac:dyDescent="0.35">
      <c r="A64" s="25" t="s">
        <v>135</v>
      </c>
      <c r="B64" s="26">
        <v>100000</v>
      </c>
      <c r="C64" s="26">
        <v>125000</v>
      </c>
      <c r="D64" s="28">
        <v>125</v>
      </c>
    </row>
    <row r="65" spans="1:8" ht="41.4" thickBot="1" x14ac:dyDescent="0.35">
      <c r="A65" s="25" t="s">
        <v>136</v>
      </c>
      <c r="B65" s="28">
        <f>B66*(B67/100)</f>
        <v>200</v>
      </c>
      <c r="C65" s="28">
        <f>B65*(D65/100)</f>
        <v>210</v>
      </c>
      <c r="D65" s="27">
        <v>105</v>
      </c>
    </row>
    <row r="66" spans="1:8" ht="31.2" thickBot="1" x14ac:dyDescent="0.35">
      <c r="A66" s="25" t="s">
        <v>137</v>
      </c>
      <c r="B66" s="28">
        <f>C66/(D66/100)</f>
        <v>250</v>
      </c>
      <c r="C66" s="27">
        <v>250</v>
      </c>
      <c r="D66" s="27">
        <v>100</v>
      </c>
    </row>
    <row r="67" spans="1:8" ht="21" thickBot="1" x14ac:dyDescent="0.35">
      <c r="A67" s="25" t="s">
        <v>138</v>
      </c>
      <c r="B67" s="27">
        <v>80</v>
      </c>
      <c r="C67" s="28">
        <f>(C65/C66)*100</f>
        <v>84</v>
      </c>
      <c r="D67" s="28">
        <f>(C67/B67)*100</f>
        <v>105</v>
      </c>
    </row>
    <row r="68" spans="1:8" ht="51.6" thickBot="1" x14ac:dyDescent="0.35">
      <c r="A68" s="25" t="s">
        <v>139</v>
      </c>
      <c r="B68" s="28">
        <f>B64/B66</f>
        <v>400</v>
      </c>
      <c r="C68" s="28">
        <f>C64/C66</f>
        <v>500</v>
      </c>
      <c r="D68" s="28">
        <f>(C68/B68)*100</f>
        <v>125</v>
      </c>
    </row>
    <row r="69" spans="1:8" ht="41.4" thickBot="1" x14ac:dyDescent="0.35">
      <c r="A69" s="25" t="s">
        <v>140</v>
      </c>
      <c r="B69" s="28">
        <f>B64/B65</f>
        <v>500</v>
      </c>
      <c r="C69" s="28">
        <f>C64/C65</f>
        <v>595.23809523809518</v>
      </c>
      <c r="D69" s="28">
        <f>(C69/B69)*100</f>
        <v>119.04761904761905</v>
      </c>
    </row>
    <row r="75" spans="1:8" ht="14.4" customHeight="1" thickBot="1" x14ac:dyDescent="0.35"/>
    <row r="76" spans="1:8" ht="15" hidden="1" thickBot="1" x14ac:dyDescent="0.35"/>
    <row r="77" spans="1:8" ht="45" customHeight="1" thickBot="1" x14ac:dyDescent="0.35">
      <c r="A77" s="25" t="s">
        <v>130</v>
      </c>
      <c r="B77" s="27">
        <v>2010</v>
      </c>
      <c r="C77" s="27">
        <v>2019</v>
      </c>
      <c r="D77" s="27" t="s">
        <v>100</v>
      </c>
    </row>
    <row r="78" spans="1:8" ht="31.8" customHeight="1" thickBot="1" x14ac:dyDescent="0.35">
      <c r="A78" s="25" t="s">
        <v>142</v>
      </c>
      <c r="B78" s="26">
        <v>10014000</v>
      </c>
      <c r="C78" s="28">
        <f>B78*0.9759</f>
        <v>9772662.5999999996</v>
      </c>
      <c r="D78" s="27">
        <v>97.59</v>
      </c>
    </row>
    <row r="79" spans="1:8" ht="33.6" customHeight="1" thickBot="1" x14ac:dyDescent="0.35">
      <c r="A79" s="25" t="s">
        <v>143</v>
      </c>
      <c r="B79" s="26">
        <v>90335</v>
      </c>
      <c r="C79" s="26">
        <v>89193</v>
      </c>
      <c r="D79" s="28">
        <f>C79/B79</f>
        <v>0.98735816682349031</v>
      </c>
    </row>
    <row r="80" spans="1:8" ht="52.8" customHeight="1" thickBot="1" x14ac:dyDescent="0.35">
      <c r="A80" s="25" t="s">
        <v>144</v>
      </c>
      <c r="B80" s="28">
        <f>B79/(B78/1000)</f>
        <v>9.0208707809067299</v>
      </c>
      <c r="C80" s="27">
        <v>9.1300000000000008</v>
      </c>
      <c r="D80" s="28">
        <f>C80/B80</f>
        <v>1.0120974151768418</v>
      </c>
      <c r="H80">
        <f>C79/(C78/1000)</f>
        <v>9.1267859794934498</v>
      </c>
    </row>
    <row r="81" spans="1:12" ht="30.6" x14ac:dyDescent="0.3">
      <c r="A81" s="30" t="s">
        <v>145</v>
      </c>
      <c r="B81" s="55">
        <v>23.8</v>
      </c>
      <c r="C81" s="51"/>
      <c r="D81" s="51"/>
    </row>
    <row r="82" spans="1:12" ht="43.8" customHeight="1" thickBot="1" x14ac:dyDescent="0.35">
      <c r="A82" s="31" t="s">
        <v>146</v>
      </c>
      <c r="B82" s="56"/>
      <c r="C82" s="52"/>
      <c r="D82" s="52"/>
    </row>
    <row r="83" spans="1:12" ht="55.8" customHeight="1" thickBot="1" x14ac:dyDescent="0.35">
      <c r="A83" s="25" t="s">
        <v>147</v>
      </c>
      <c r="B83" s="25"/>
      <c r="C83" s="26">
        <v>2218731</v>
      </c>
      <c r="D83" s="25"/>
    </row>
    <row r="84" spans="1:12" ht="40.799999999999997" x14ac:dyDescent="0.3">
      <c r="A84" s="30" t="s">
        <v>148</v>
      </c>
      <c r="B84" s="51"/>
      <c r="C84" s="51"/>
      <c r="D84" s="51"/>
    </row>
    <row r="85" spans="1:12" ht="36" customHeight="1" thickBot="1" x14ac:dyDescent="0.35">
      <c r="A85" s="31" t="s">
        <v>149</v>
      </c>
      <c r="B85" s="52"/>
      <c r="C85" s="52"/>
      <c r="D85" s="52"/>
    </row>
    <row r="91" spans="1:12" ht="15" thickBot="1" x14ac:dyDescent="0.35"/>
    <row r="92" spans="1:12" ht="15" thickBot="1" x14ac:dyDescent="0.35">
      <c r="A92" s="27">
        <v>-150</v>
      </c>
      <c r="B92" s="27">
        <v>5</v>
      </c>
      <c r="D92">
        <v>145</v>
      </c>
      <c r="E92">
        <f>B92*D92</f>
        <v>725</v>
      </c>
    </row>
    <row r="93" spans="1:12" ht="15" thickBot="1" x14ac:dyDescent="0.35">
      <c r="A93" s="27" t="s">
        <v>163</v>
      </c>
      <c r="B93" s="27">
        <v>16</v>
      </c>
      <c r="D93">
        <v>165</v>
      </c>
      <c r="E93">
        <f t="shared" ref="E93:E100" si="3">B93*D93</f>
        <v>2640</v>
      </c>
      <c r="G93">
        <f>180*0.25</f>
        <v>45</v>
      </c>
      <c r="H93">
        <v>210</v>
      </c>
      <c r="I93" t="s">
        <v>172</v>
      </c>
    </row>
    <row r="94" spans="1:12" ht="15" thickBot="1" x14ac:dyDescent="0.35">
      <c r="A94" s="27" t="s">
        <v>164</v>
      </c>
      <c r="B94" s="27">
        <v>24</v>
      </c>
      <c r="D94">
        <v>195</v>
      </c>
      <c r="E94">
        <f t="shared" si="3"/>
        <v>4680</v>
      </c>
      <c r="G94">
        <f>180*0.5</f>
        <v>90</v>
      </c>
      <c r="I94">
        <v>77</v>
      </c>
      <c r="J94">
        <v>115</v>
      </c>
      <c r="K94">
        <f>240+30*(13/38)</f>
        <v>250.26315789473685</v>
      </c>
      <c r="L94" t="s">
        <v>171</v>
      </c>
    </row>
    <row r="95" spans="1:12" ht="15" thickBot="1" x14ac:dyDescent="0.35">
      <c r="A95" s="27" t="s">
        <v>165</v>
      </c>
      <c r="B95" s="27">
        <v>32</v>
      </c>
      <c r="D95">
        <v>225</v>
      </c>
      <c r="E95">
        <f t="shared" si="3"/>
        <v>7200</v>
      </c>
      <c r="G95">
        <v>135</v>
      </c>
      <c r="H95">
        <f>270+30*(20/26)</f>
        <v>293.07692307692309</v>
      </c>
      <c r="I95" t="s">
        <v>173</v>
      </c>
    </row>
    <row r="96" spans="1:12" ht="15" thickBot="1" x14ac:dyDescent="0.35">
      <c r="A96" s="27" t="s">
        <v>166</v>
      </c>
      <c r="B96" s="27">
        <v>38</v>
      </c>
      <c r="D96">
        <v>255</v>
      </c>
      <c r="E96">
        <f t="shared" si="3"/>
        <v>9690</v>
      </c>
    </row>
    <row r="97" spans="1:5" ht="15" thickBot="1" x14ac:dyDescent="0.35">
      <c r="A97" s="27" t="s">
        <v>167</v>
      </c>
      <c r="B97" s="27">
        <v>26</v>
      </c>
      <c r="D97">
        <v>285</v>
      </c>
      <c r="E97">
        <f t="shared" si="3"/>
        <v>7410</v>
      </c>
    </row>
    <row r="98" spans="1:5" ht="15" thickBot="1" x14ac:dyDescent="0.35">
      <c r="A98" s="27" t="s">
        <v>168</v>
      </c>
      <c r="B98" s="27">
        <v>18</v>
      </c>
      <c r="D98">
        <v>315</v>
      </c>
      <c r="E98">
        <f t="shared" si="3"/>
        <v>5670</v>
      </c>
    </row>
    <row r="99" spans="1:5" ht="15" thickBot="1" x14ac:dyDescent="0.35">
      <c r="A99" s="27" t="s">
        <v>169</v>
      </c>
      <c r="B99" s="27">
        <v>13</v>
      </c>
      <c r="D99">
        <v>345</v>
      </c>
      <c r="E99">
        <f t="shared" si="3"/>
        <v>4485</v>
      </c>
    </row>
    <row r="100" spans="1:5" ht="15" thickBot="1" x14ac:dyDescent="0.35">
      <c r="A100" s="35" t="s">
        <v>170</v>
      </c>
      <c r="B100" s="27">
        <v>8</v>
      </c>
      <c r="D100">
        <v>375</v>
      </c>
      <c r="E100">
        <f t="shared" si="3"/>
        <v>3000</v>
      </c>
    </row>
    <row r="101" spans="1:5" ht="15" thickBot="1" x14ac:dyDescent="0.35">
      <c r="A101" s="27" t="s">
        <v>0</v>
      </c>
      <c r="B101" s="27">
        <v>180</v>
      </c>
    </row>
    <row r="106" spans="1:5" x14ac:dyDescent="0.3">
      <c r="A106">
        <f>SUM(E92:E100)/B101</f>
        <v>252.77777777777777</v>
      </c>
    </row>
    <row r="107" spans="1:5" x14ac:dyDescent="0.3">
      <c r="A107" t="s">
        <v>215</v>
      </c>
      <c r="B107">
        <f>H95-K94</f>
        <v>42.813765182186245</v>
      </c>
      <c r="D107" t="s">
        <v>216</v>
      </c>
      <c r="E107">
        <f>K94-H93</f>
        <v>40.26315789473685</v>
      </c>
    </row>
    <row r="108" spans="1:5" x14ac:dyDescent="0.3">
      <c r="A108" t="s">
        <v>209</v>
      </c>
      <c r="B108">
        <f>(B107-E107)/(H95-H93)</f>
        <v>3.0701754385964935E-2</v>
      </c>
    </row>
    <row r="112" spans="1:5" ht="15" thickBot="1" x14ac:dyDescent="0.35"/>
    <row r="113" spans="1:8" ht="14.4" customHeight="1" x14ac:dyDescent="0.3">
      <c r="A113" s="77"/>
      <c r="B113" s="71"/>
      <c r="C113" s="73" t="s">
        <v>228</v>
      </c>
      <c r="D113" s="5"/>
    </row>
    <row r="114" spans="1:8" ht="21" thickBot="1" x14ac:dyDescent="0.35">
      <c r="A114" s="78" t="s">
        <v>227</v>
      </c>
      <c r="B114" s="72"/>
      <c r="C114" s="74"/>
      <c r="D114" s="5"/>
      <c r="H114" t="s">
        <v>230</v>
      </c>
    </row>
    <row r="115" spans="1:8" ht="15" thickBot="1" x14ac:dyDescent="0.35">
      <c r="A115" s="68"/>
      <c r="B115" s="70" t="s">
        <v>229</v>
      </c>
      <c r="C115" s="68">
        <v>40</v>
      </c>
      <c r="D115" s="70">
        <v>7</v>
      </c>
      <c r="E115">
        <v>35</v>
      </c>
      <c r="F115">
        <f>D115*E115</f>
        <v>245</v>
      </c>
    </row>
    <row r="116" spans="1:8" ht="15" thickBot="1" x14ac:dyDescent="0.35">
      <c r="A116" s="79">
        <v>41</v>
      </c>
      <c r="B116" s="70" t="s">
        <v>229</v>
      </c>
      <c r="C116" s="68">
        <v>50</v>
      </c>
      <c r="D116" s="70">
        <v>30</v>
      </c>
      <c r="E116">
        <v>45</v>
      </c>
      <c r="F116">
        <f t="shared" ref="F116:F120" si="4">D116*E116</f>
        <v>1350</v>
      </c>
    </row>
    <row r="117" spans="1:8" ht="15" thickBot="1" x14ac:dyDescent="0.35">
      <c r="A117" s="79">
        <v>51</v>
      </c>
      <c r="B117" s="70" t="s">
        <v>229</v>
      </c>
      <c r="C117" s="68">
        <v>60</v>
      </c>
      <c r="D117" s="70">
        <v>42</v>
      </c>
      <c r="E117">
        <v>55</v>
      </c>
      <c r="F117">
        <f t="shared" si="4"/>
        <v>2310</v>
      </c>
    </row>
    <row r="118" spans="1:8" ht="15" thickBot="1" x14ac:dyDescent="0.35">
      <c r="A118" s="79">
        <v>61</v>
      </c>
      <c r="B118" s="70" t="s">
        <v>229</v>
      </c>
      <c r="C118" s="68">
        <v>70</v>
      </c>
      <c r="D118" s="70">
        <v>20</v>
      </c>
      <c r="E118">
        <v>65</v>
      </c>
      <c r="F118">
        <f t="shared" si="4"/>
        <v>1300</v>
      </c>
    </row>
    <row r="119" spans="1:8" ht="15" thickBot="1" x14ac:dyDescent="0.35">
      <c r="A119" s="79">
        <v>71</v>
      </c>
      <c r="B119" s="70" t="s">
        <v>229</v>
      </c>
      <c r="C119" s="68">
        <v>80</v>
      </c>
      <c r="D119" s="70">
        <v>16</v>
      </c>
      <c r="E119">
        <v>75</v>
      </c>
      <c r="F119">
        <f t="shared" si="4"/>
        <v>1200</v>
      </c>
    </row>
    <row r="120" spans="1:8" ht="15" thickBot="1" x14ac:dyDescent="0.35">
      <c r="A120" s="79">
        <v>81</v>
      </c>
      <c r="B120" s="70" t="s">
        <v>229</v>
      </c>
      <c r="C120" s="68"/>
      <c r="D120" s="70">
        <v>10</v>
      </c>
      <c r="E120">
        <v>85</v>
      </c>
      <c r="F120">
        <f t="shared" si="4"/>
        <v>850</v>
      </c>
    </row>
    <row r="121" spans="1:8" ht="15" thickBot="1" x14ac:dyDescent="0.35">
      <c r="A121" s="68"/>
      <c r="B121" s="68" t="s">
        <v>112</v>
      </c>
      <c r="C121" s="68"/>
      <c r="D121" s="70">
        <v>125</v>
      </c>
      <c r="F121">
        <f>SUM(F115:F120)</f>
        <v>7255</v>
      </c>
    </row>
    <row r="122" spans="1:8" x14ac:dyDescent="0.3">
      <c r="D122">
        <f>SUM(D115:D121)</f>
        <v>250</v>
      </c>
    </row>
  </sheetData>
  <mergeCells count="12">
    <mergeCell ref="B113:B114"/>
    <mergeCell ref="C113:C114"/>
    <mergeCell ref="D81:D82"/>
    <mergeCell ref="B84:B85"/>
    <mergeCell ref="C84:C85"/>
    <mergeCell ref="D84:D85"/>
    <mergeCell ref="A1:A2"/>
    <mergeCell ref="A62:A63"/>
    <mergeCell ref="B62:B63"/>
    <mergeCell ref="C62:C63"/>
    <mergeCell ref="B81:B82"/>
    <mergeCell ref="C81:C8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889B-E389-48F1-ABF1-729ED3D8CF35}">
  <dimension ref="A1:S94"/>
  <sheetViews>
    <sheetView topLeftCell="A29" workbookViewId="0">
      <selection activeCell="M49" sqref="M49"/>
    </sheetView>
  </sheetViews>
  <sheetFormatPr defaultRowHeight="14.4" x14ac:dyDescent="0.3"/>
  <sheetData>
    <row r="1" spans="1:18" ht="21" thickBot="1" x14ac:dyDescent="0.35">
      <c r="A1" s="1" t="s">
        <v>8</v>
      </c>
      <c r="B1" s="3" t="s">
        <v>9</v>
      </c>
      <c r="C1" s="3" t="s">
        <v>10</v>
      </c>
      <c r="D1" s="3" t="s">
        <v>11</v>
      </c>
    </row>
    <row r="2" spans="1:18" ht="30.6" x14ac:dyDescent="0.3">
      <c r="A2" s="1"/>
      <c r="B2" s="3" t="s">
        <v>12</v>
      </c>
      <c r="C2" s="2" t="s">
        <v>13</v>
      </c>
      <c r="D2" s="4" t="s">
        <v>14</v>
      </c>
      <c r="F2" t="s">
        <v>2</v>
      </c>
      <c r="G2" t="s">
        <v>3</v>
      </c>
      <c r="H2" t="s">
        <v>41</v>
      </c>
      <c r="M2" s="57" t="s">
        <v>8</v>
      </c>
      <c r="N2" s="13" t="s">
        <v>80</v>
      </c>
      <c r="O2" s="13" t="s">
        <v>81</v>
      </c>
      <c r="P2" s="13" t="s">
        <v>82</v>
      </c>
    </row>
    <row r="3" spans="1:18" ht="31.2" thickBot="1" x14ac:dyDescent="0.35">
      <c r="A3" s="1" t="s">
        <v>15</v>
      </c>
      <c r="B3" s="3">
        <v>550</v>
      </c>
      <c r="C3" s="3">
        <v>110</v>
      </c>
      <c r="D3" s="3">
        <v>102</v>
      </c>
      <c r="F3">
        <f>B3*1.02</f>
        <v>561</v>
      </c>
      <c r="G3">
        <f>B3*1.1</f>
        <v>605</v>
      </c>
      <c r="H3">
        <f>B3*1.1*1.02</f>
        <v>617.1</v>
      </c>
      <c r="M3" s="58"/>
      <c r="N3" s="14" t="s">
        <v>83</v>
      </c>
      <c r="O3" s="14" t="s">
        <v>83</v>
      </c>
      <c r="P3" s="14" t="s">
        <v>84</v>
      </c>
      <c r="Q3" s="15" t="s">
        <v>2</v>
      </c>
      <c r="R3" s="15" t="s">
        <v>3</v>
      </c>
    </row>
    <row r="4" spans="1:18" ht="15" thickBot="1" x14ac:dyDescent="0.35">
      <c r="A4" s="1" t="s">
        <v>16</v>
      </c>
      <c r="B4" s="3">
        <v>400</v>
      </c>
      <c r="C4" s="3">
        <v>120</v>
      </c>
      <c r="D4" s="3">
        <v>95</v>
      </c>
      <c r="F4">
        <f>B4*0.95</f>
        <v>380</v>
      </c>
      <c r="G4">
        <f>B4*1.2</f>
        <v>480</v>
      </c>
      <c r="H4">
        <f>B4*1.2*0.95</f>
        <v>456</v>
      </c>
      <c r="M4" s="16" t="s">
        <v>85</v>
      </c>
      <c r="N4" s="17">
        <v>7199952</v>
      </c>
      <c r="O4" s="17">
        <v>9879924</v>
      </c>
      <c r="P4" s="18">
        <v>86.67</v>
      </c>
      <c r="Q4">
        <f>O4/0.8667</f>
        <v>11399473.866389753</v>
      </c>
      <c r="R4">
        <f>N4*0.8667</f>
        <v>6240198.3984000003</v>
      </c>
    </row>
    <row r="5" spans="1:18" ht="15" thickBot="1" x14ac:dyDescent="0.35">
      <c r="A5" s="1" t="s">
        <v>17</v>
      </c>
      <c r="B5" s="3">
        <v>750</v>
      </c>
      <c r="C5" s="3">
        <v>102</v>
      </c>
      <c r="D5" s="3">
        <v>110</v>
      </c>
      <c r="F5">
        <f>B5*1.1</f>
        <v>825.00000000000011</v>
      </c>
      <c r="G5">
        <f>B5*1.02</f>
        <v>765</v>
      </c>
      <c r="H5">
        <f>B5*1.1*1.02</f>
        <v>841.50000000000011</v>
      </c>
      <c r="M5" s="16" t="s">
        <v>86</v>
      </c>
      <c r="N5" s="17">
        <v>1199988</v>
      </c>
      <c r="O5" s="17">
        <v>2959963</v>
      </c>
      <c r="P5" s="18">
        <v>80</v>
      </c>
      <c r="Q5">
        <f>O5/0.8</f>
        <v>3699953.75</v>
      </c>
      <c r="R5">
        <f>N5*0.8</f>
        <v>959990.4</v>
      </c>
    </row>
    <row r="6" spans="1:18" ht="15" thickBot="1" x14ac:dyDescent="0.35">
      <c r="A6" s="1" t="s">
        <v>0</v>
      </c>
      <c r="B6" s="3">
        <v>1700</v>
      </c>
      <c r="C6" s="1"/>
      <c r="D6" s="1"/>
      <c r="F6">
        <f>SUM(F3:F5)</f>
        <v>1766</v>
      </c>
      <c r="G6">
        <f t="shared" ref="G6:H6" si="0">SUM(G3:G5)</f>
        <v>1850</v>
      </c>
      <c r="H6">
        <f t="shared" si="0"/>
        <v>1914.6</v>
      </c>
      <c r="M6" s="16" t="s">
        <v>87</v>
      </c>
      <c r="N6" s="17">
        <v>19519878</v>
      </c>
      <c r="O6" s="17">
        <v>30365759</v>
      </c>
      <c r="P6" s="18">
        <v>78.75</v>
      </c>
      <c r="Q6">
        <f>O6/0.7875</f>
        <v>38559693.96825397</v>
      </c>
      <c r="R6">
        <f>N6*0.7875</f>
        <v>15371903.924999999</v>
      </c>
    </row>
    <row r="7" spans="1:18" ht="15" thickBot="1" x14ac:dyDescent="0.35">
      <c r="M7" s="16" t="s">
        <v>0</v>
      </c>
      <c r="N7">
        <f t="shared" ref="N7:O7" si="1">SUM(N4:N6)</f>
        <v>27919818</v>
      </c>
      <c r="O7">
        <f t="shared" si="1"/>
        <v>43205646</v>
      </c>
      <c r="Q7">
        <f>SUM(Q4:Q6)</f>
        <v>53659121.584643722</v>
      </c>
      <c r="R7">
        <f>SUM(R4:R6)</f>
        <v>22572092.7234</v>
      </c>
    </row>
    <row r="10" spans="1:18" x14ac:dyDescent="0.3">
      <c r="M10">
        <f>O7/Q7</f>
        <v>0.80518735163873201</v>
      </c>
    </row>
    <row r="11" spans="1:18" x14ac:dyDescent="0.3">
      <c r="B11" s="7" t="s">
        <v>18</v>
      </c>
      <c r="C11" s="7" t="s">
        <v>18</v>
      </c>
      <c r="D11" s="7" t="s">
        <v>19</v>
      </c>
      <c r="E11" s="7" t="s">
        <v>19</v>
      </c>
    </row>
    <row r="12" spans="1:18" x14ac:dyDescent="0.3">
      <c r="A12" s="59" t="s">
        <v>20</v>
      </c>
      <c r="B12" s="7" t="s">
        <v>21</v>
      </c>
      <c r="C12" s="7" t="s">
        <v>23</v>
      </c>
      <c r="D12" s="7" t="s">
        <v>21</v>
      </c>
      <c r="E12" s="7" t="s">
        <v>23</v>
      </c>
      <c r="M12">
        <f>(O6/N6)/0.7875</f>
        <v>1.9754065045003852</v>
      </c>
    </row>
    <row r="13" spans="1:18" ht="20.399999999999999" x14ac:dyDescent="0.3">
      <c r="A13" s="59"/>
      <c r="B13" s="7" t="s">
        <v>22</v>
      </c>
      <c r="C13" s="7" t="s">
        <v>24</v>
      </c>
      <c r="D13" s="7" t="s">
        <v>22</v>
      </c>
      <c r="E13" s="7" t="s">
        <v>24</v>
      </c>
      <c r="F13" s="7" t="s">
        <v>42</v>
      </c>
      <c r="G13" s="7" t="s">
        <v>43</v>
      </c>
      <c r="H13" s="7" t="s">
        <v>44</v>
      </c>
      <c r="I13" s="7" t="s">
        <v>45</v>
      </c>
    </row>
    <row r="14" spans="1:18" x14ac:dyDescent="0.3">
      <c r="A14" s="6" t="s">
        <v>25</v>
      </c>
      <c r="B14" s="7">
        <v>10</v>
      </c>
      <c r="C14" s="7">
        <v>40</v>
      </c>
      <c r="D14" s="7">
        <v>8</v>
      </c>
      <c r="E14" s="7">
        <v>20</v>
      </c>
      <c r="F14">
        <f>B14*C14</f>
        <v>400</v>
      </c>
      <c r="G14">
        <f>D14*E14</f>
        <v>160</v>
      </c>
      <c r="H14">
        <f>B14*E14</f>
        <v>200</v>
      </c>
      <c r="I14">
        <f>C14*D14</f>
        <v>320</v>
      </c>
    </row>
    <row r="15" spans="1:18" x14ac:dyDescent="0.3">
      <c r="A15" s="6" t="s">
        <v>26</v>
      </c>
      <c r="B15" s="7">
        <v>16</v>
      </c>
      <c r="C15" s="7">
        <v>35</v>
      </c>
      <c r="D15" s="7">
        <v>17</v>
      </c>
      <c r="E15" s="7">
        <v>30</v>
      </c>
      <c r="F15">
        <f t="shared" ref="F15:F16" si="2">B15*C15</f>
        <v>560</v>
      </c>
      <c r="G15">
        <f t="shared" ref="G15:G16" si="3">D15*E15</f>
        <v>510</v>
      </c>
      <c r="H15">
        <f t="shared" ref="H15:H16" si="4">B15*E15</f>
        <v>480</v>
      </c>
      <c r="I15">
        <f t="shared" ref="I15:I16" si="5">C15*D15</f>
        <v>595</v>
      </c>
    </row>
    <row r="16" spans="1:18" x14ac:dyDescent="0.3">
      <c r="A16" s="6" t="s">
        <v>27</v>
      </c>
      <c r="B16" s="7">
        <v>18</v>
      </c>
      <c r="C16" s="7">
        <v>25</v>
      </c>
      <c r="D16" s="7">
        <v>20</v>
      </c>
      <c r="E16" s="7">
        <v>50</v>
      </c>
      <c r="F16">
        <f t="shared" si="2"/>
        <v>450</v>
      </c>
      <c r="G16">
        <f t="shared" si="3"/>
        <v>1000</v>
      </c>
      <c r="H16">
        <f t="shared" si="4"/>
        <v>900</v>
      </c>
      <c r="I16">
        <f t="shared" si="5"/>
        <v>500</v>
      </c>
    </row>
    <row r="17" spans="1:19" ht="20.399999999999999" x14ac:dyDescent="0.3">
      <c r="A17" s="6" t="s">
        <v>28</v>
      </c>
      <c r="B17" s="6"/>
      <c r="C17" s="7">
        <v>100</v>
      </c>
      <c r="D17" s="6"/>
      <c r="E17" s="7">
        <v>100</v>
      </c>
      <c r="F17">
        <f>SUM(F14:F16)</f>
        <v>1410</v>
      </c>
      <c r="G17">
        <f t="shared" ref="G17:I17" si="6">SUM(G14:G16)</f>
        <v>1670</v>
      </c>
      <c r="H17">
        <f t="shared" si="6"/>
        <v>1580</v>
      </c>
      <c r="I17">
        <f t="shared" si="6"/>
        <v>1415</v>
      </c>
      <c r="M17" s="1" t="s">
        <v>8</v>
      </c>
      <c r="N17" s="2" t="s">
        <v>88</v>
      </c>
      <c r="O17" s="4" t="s">
        <v>89</v>
      </c>
      <c r="P17" s="3" t="s">
        <v>90</v>
      </c>
    </row>
    <row r="18" spans="1:19" ht="20.399999999999999" x14ac:dyDescent="0.3">
      <c r="M18" s="1"/>
      <c r="N18" s="3" t="s">
        <v>91</v>
      </c>
      <c r="O18" s="3" t="s">
        <v>92</v>
      </c>
      <c r="P18" s="3" t="s">
        <v>93</v>
      </c>
      <c r="Q18" s="3" t="s">
        <v>5</v>
      </c>
      <c r="R18" s="3" t="s">
        <v>2</v>
      </c>
      <c r="S18" s="3" t="s">
        <v>3</v>
      </c>
    </row>
    <row r="19" spans="1:19" x14ac:dyDescent="0.3">
      <c r="M19" s="1" t="s">
        <v>1</v>
      </c>
      <c r="N19" s="3">
        <v>160.1</v>
      </c>
      <c r="O19" s="3">
        <v>140.69999999999999</v>
      </c>
      <c r="P19" s="3">
        <v>110.9</v>
      </c>
      <c r="Q19" s="3">
        <v>1.109</v>
      </c>
      <c r="R19">
        <f>O19/Q19</f>
        <v>126.87105500450856</v>
      </c>
      <c r="S19">
        <f>N19*Q19</f>
        <v>177.55089999999998</v>
      </c>
    </row>
    <row r="20" spans="1:19" ht="20.399999999999999" x14ac:dyDescent="0.3">
      <c r="M20" s="1" t="s">
        <v>94</v>
      </c>
      <c r="N20" s="3">
        <v>220.5</v>
      </c>
      <c r="O20" s="3">
        <v>243.8</v>
      </c>
      <c r="P20" s="3">
        <v>111.8</v>
      </c>
      <c r="Q20" s="3">
        <v>1.1180000000000001</v>
      </c>
      <c r="R20">
        <f t="shared" ref="R20:R21" si="7">O20/Q20</f>
        <v>218.06797853309479</v>
      </c>
      <c r="S20">
        <f t="shared" ref="S20:S21" si="8">N20*Q20</f>
        <v>246.51900000000003</v>
      </c>
    </row>
    <row r="21" spans="1:19" x14ac:dyDescent="0.3">
      <c r="M21" s="1" t="s">
        <v>6</v>
      </c>
      <c r="N21" s="3">
        <v>130.6</v>
      </c>
      <c r="O21" s="3">
        <v>149.6</v>
      </c>
      <c r="P21" s="3">
        <v>109.9</v>
      </c>
      <c r="Q21" s="3">
        <v>1.099</v>
      </c>
      <c r="R21">
        <f t="shared" si="7"/>
        <v>136.12374886260235</v>
      </c>
      <c r="S21">
        <f t="shared" si="8"/>
        <v>143.52939999999998</v>
      </c>
    </row>
    <row r="22" spans="1:19" x14ac:dyDescent="0.3">
      <c r="M22" s="1" t="s">
        <v>0</v>
      </c>
      <c r="N22" s="3">
        <v>511.2</v>
      </c>
      <c r="O22" s="3">
        <v>534.1</v>
      </c>
      <c r="P22" s="5"/>
      <c r="R22">
        <f>SUM(R19:R21)</f>
        <v>481.06278240020572</v>
      </c>
      <c r="S22">
        <f>SUM(S19:S21)</f>
        <v>567.59929999999997</v>
      </c>
    </row>
    <row r="24" spans="1:19" ht="30.6" x14ac:dyDescent="0.3">
      <c r="A24" s="1" t="s">
        <v>29</v>
      </c>
      <c r="B24" s="3" t="s">
        <v>30</v>
      </c>
      <c r="C24" s="3" t="s">
        <v>30</v>
      </c>
      <c r="D24" s="3" t="s">
        <v>31</v>
      </c>
      <c r="E24" s="3" t="s">
        <v>31</v>
      </c>
    </row>
    <row r="25" spans="1:19" ht="20.399999999999999" x14ac:dyDescent="0.3">
      <c r="A25" s="1" t="s">
        <v>32</v>
      </c>
      <c r="B25" s="3" t="s">
        <v>24</v>
      </c>
      <c r="C25" s="3" t="s">
        <v>24</v>
      </c>
      <c r="D25" s="3" t="s">
        <v>33</v>
      </c>
      <c r="E25" s="3" t="s">
        <v>33</v>
      </c>
      <c r="M25">
        <v>481.1</v>
      </c>
    </row>
    <row r="26" spans="1:19" x14ac:dyDescent="0.3">
      <c r="A26" s="1"/>
      <c r="B26" s="3" t="s">
        <v>34</v>
      </c>
      <c r="C26" s="3" t="s">
        <v>35</v>
      </c>
      <c r="D26" s="3" t="s">
        <v>35</v>
      </c>
      <c r="E26" s="3" t="s">
        <v>34</v>
      </c>
      <c r="F26">
        <v>2020</v>
      </c>
      <c r="G26">
        <v>2021</v>
      </c>
      <c r="H26" s="3" t="s">
        <v>48</v>
      </c>
      <c r="M26" t="s">
        <v>95</v>
      </c>
      <c r="O26">
        <v>177.6</v>
      </c>
    </row>
    <row r="27" spans="1:19" ht="20.399999999999999" x14ac:dyDescent="0.3">
      <c r="A27" s="1" t="s">
        <v>36</v>
      </c>
      <c r="B27" s="3">
        <v>40</v>
      </c>
      <c r="C27" s="3">
        <v>68.900000000000006</v>
      </c>
      <c r="D27" s="3">
        <v>90</v>
      </c>
      <c r="E27" s="3">
        <v>100</v>
      </c>
      <c r="F27">
        <f>(C27/100)/D27</f>
        <v>7.6555555555555561E-3</v>
      </c>
      <c r="G27">
        <f>(B27/100)/E27</f>
        <v>4.0000000000000001E-3</v>
      </c>
      <c r="H27">
        <f>G27*D27</f>
        <v>0.36</v>
      </c>
      <c r="M27" t="s">
        <v>96</v>
      </c>
      <c r="N27">
        <f>N22-R22</f>
        <v>30.137217599794269</v>
      </c>
    </row>
    <row r="28" spans="1:19" ht="20.399999999999999" x14ac:dyDescent="0.3">
      <c r="A28" s="1" t="s">
        <v>37</v>
      </c>
      <c r="B28" s="3">
        <v>20</v>
      </c>
      <c r="C28" s="3">
        <v>16.7</v>
      </c>
      <c r="D28" s="3">
        <v>50</v>
      </c>
      <c r="E28" s="3">
        <v>56</v>
      </c>
      <c r="F28">
        <f t="shared" ref="F28:F29" si="9">(C28/100)/D28</f>
        <v>3.3399999999999997E-3</v>
      </c>
      <c r="G28">
        <f t="shared" ref="G28:G29" si="10">(B28/100)/E28</f>
        <v>3.5714285714285718E-3</v>
      </c>
      <c r="H28">
        <f t="shared" ref="H28:H29" si="11">G28*D28</f>
        <v>0.17857142857142858</v>
      </c>
      <c r="M28">
        <f>O22-R22</f>
        <v>53.037217599794303</v>
      </c>
    </row>
    <row r="29" spans="1:19" ht="20.399999999999999" x14ac:dyDescent="0.3">
      <c r="A29" s="1" t="s">
        <v>38</v>
      </c>
      <c r="B29" s="3">
        <v>40</v>
      </c>
      <c r="C29" s="3">
        <v>14.4</v>
      </c>
      <c r="D29" s="3">
        <v>42</v>
      </c>
      <c r="E29" s="3">
        <v>45</v>
      </c>
      <c r="F29">
        <f t="shared" si="9"/>
        <v>3.4285714285714288E-3</v>
      </c>
      <c r="G29">
        <f t="shared" si="10"/>
        <v>8.8888888888888889E-3</v>
      </c>
      <c r="H29">
        <f t="shared" si="11"/>
        <v>0.37333333333333335</v>
      </c>
      <c r="M29">
        <f>O22-N22</f>
        <v>22.900000000000034</v>
      </c>
    </row>
    <row r="30" spans="1:19" x14ac:dyDescent="0.3">
      <c r="F30">
        <f>SUM(F27:F29)</f>
        <v>1.4424126984126984E-2</v>
      </c>
      <c r="G30">
        <f t="shared" ref="G30:H30" si="12">SUM(G27:G29)</f>
        <v>1.646031746031746E-2</v>
      </c>
      <c r="H30">
        <f t="shared" si="12"/>
        <v>0.911904761904762</v>
      </c>
    </row>
    <row r="32" spans="1:19" x14ac:dyDescent="0.3">
      <c r="A32" s="1" t="s">
        <v>46</v>
      </c>
      <c r="B32">
        <f>1/F30</f>
        <v>69.32828594066379</v>
      </c>
      <c r="H32">
        <f>H30/G30</f>
        <v>55.400192864030863</v>
      </c>
    </row>
    <row r="33" spans="1:19" x14ac:dyDescent="0.3">
      <c r="A33" s="1" t="s">
        <v>47</v>
      </c>
      <c r="B33">
        <f>1/G30</f>
        <v>60.752169720347155</v>
      </c>
    </row>
    <row r="34" spans="1:19" x14ac:dyDescent="0.3">
      <c r="A34" s="1" t="s">
        <v>50</v>
      </c>
      <c r="B34">
        <f>1-(B33/B32)</f>
        <v>0.12370298939247826</v>
      </c>
    </row>
    <row r="35" spans="1:19" x14ac:dyDescent="0.3">
      <c r="A35" s="1" t="s">
        <v>49</v>
      </c>
      <c r="B35">
        <f>B33/H32</f>
        <v>1.0966057441253263</v>
      </c>
    </row>
    <row r="36" spans="1:19" ht="18" x14ac:dyDescent="0.35">
      <c r="A36" s="1" t="s">
        <v>51</v>
      </c>
      <c r="B36">
        <f>H32/B32</f>
        <v>0.79909941681590679</v>
      </c>
      <c r="M36" s="36" t="s">
        <v>150</v>
      </c>
      <c r="N36" s="36" t="s">
        <v>151</v>
      </c>
      <c r="O36" s="36" t="s">
        <v>151</v>
      </c>
      <c r="P36" s="36" t="s">
        <v>150</v>
      </c>
      <c r="Q36" s="36" t="s">
        <v>150</v>
      </c>
      <c r="R36" s="37"/>
      <c r="S36" s="37"/>
    </row>
    <row r="37" spans="1:19" ht="18" x14ac:dyDescent="0.35">
      <c r="M37" s="36" t="s">
        <v>152</v>
      </c>
      <c r="N37" s="36" t="s">
        <v>153</v>
      </c>
      <c r="O37" s="36" t="s">
        <v>153</v>
      </c>
      <c r="P37" s="36" t="s">
        <v>154</v>
      </c>
      <c r="Q37" s="36" t="s">
        <v>154</v>
      </c>
      <c r="R37" s="37"/>
      <c r="S37" s="37"/>
    </row>
    <row r="38" spans="1:19" ht="21" x14ac:dyDescent="0.4">
      <c r="M38" s="36"/>
      <c r="N38" s="36">
        <v>2020</v>
      </c>
      <c r="O38" s="36">
        <v>2021</v>
      </c>
      <c r="P38" s="36">
        <v>2020</v>
      </c>
      <c r="Q38" s="36">
        <v>2021</v>
      </c>
      <c r="R38" s="38">
        <v>2020</v>
      </c>
      <c r="S38" s="38">
        <v>2021</v>
      </c>
    </row>
    <row r="39" spans="1:19" ht="18" x14ac:dyDescent="0.35">
      <c r="M39" s="36" t="s">
        <v>155</v>
      </c>
      <c r="N39" s="36">
        <v>10</v>
      </c>
      <c r="O39" s="36">
        <v>5</v>
      </c>
      <c r="P39" s="36">
        <v>40</v>
      </c>
      <c r="Q39" s="36">
        <v>50</v>
      </c>
      <c r="R39" s="39">
        <f t="shared" ref="R39:S41" si="13">P39/N39</f>
        <v>4</v>
      </c>
      <c r="S39" s="39">
        <f t="shared" si="13"/>
        <v>10</v>
      </c>
    </row>
    <row r="40" spans="1:19" ht="20.399999999999999" x14ac:dyDescent="0.35">
      <c r="A40" s="60" t="s">
        <v>8</v>
      </c>
      <c r="B40" s="7" t="s">
        <v>52</v>
      </c>
      <c r="C40" s="7" t="s">
        <v>54</v>
      </c>
      <c r="D40" s="7" t="s">
        <v>56</v>
      </c>
      <c r="M40" s="36" t="s">
        <v>156</v>
      </c>
      <c r="N40" s="36">
        <v>10</v>
      </c>
      <c r="O40" s="36">
        <v>8</v>
      </c>
      <c r="P40" s="36">
        <v>20</v>
      </c>
      <c r="Q40" s="36">
        <v>25</v>
      </c>
      <c r="R40" s="39">
        <f t="shared" si="13"/>
        <v>2</v>
      </c>
      <c r="S40" s="40">
        <f t="shared" si="13"/>
        <v>3.125</v>
      </c>
    </row>
    <row r="41" spans="1:19" ht="20.399999999999999" x14ac:dyDescent="0.35">
      <c r="A41" s="60"/>
      <c r="B41" s="7" t="s">
        <v>53</v>
      </c>
      <c r="C41" s="7" t="s">
        <v>55</v>
      </c>
      <c r="D41" s="7" t="s">
        <v>57</v>
      </c>
      <c r="E41" s="7" t="s">
        <v>2</v>
      </c>
      <c r="F41" s="7" t="s">
        <v>3</v>
      </c>
      <c r="G41" s="7" t="s">
        <v>61</v>
      </c>
      <c r="M41" s="36" t="s">
        <v>157</v>
      </c>
      <c r="N41" s="36">
        <v>8</v>
      </c>
      <c r="O41" s="36">
        <v>12</v>
      </c>
      <c r="P41" s="36">
        <v>40</v>
      </c>
      <c r="Q41" s="36">
        <v>25</v>
      </c>
      <c r="R41" s="39">
        <f t="shared" si="13"/>
        <v>5</v>
      </c>
      <c r="S41" s="40">
        <f t="shared" si="13"/>
        <v>2.0833333333333335</v>
      </c>
    </row>
    <row r="42" spans="1:19" ht="18" x14ac:dyDescent="0.35">
      <c r="A42" s="6" t="s">
        <v>58</v>
      </c>
      <c r="B42" s="7">
        <v>650</v>
      </c>
      <c r="C42" s="7">
        <v>108</v>
      </c>
      <c r="D42" s="7">
        <v>103</v>
      </c>
      <c r="E42">
        <f>B42/1.08</f>
        <v>601.85185185185185</v>
      </c>
      <c r="F42">
        <f>B42/1.03</f>
        <v>631.06796116504847</v>
      </c>
      <c r="G42">
        <f>B42/1.08/1.03</f>
        <v>584.32218626393387</v>
      </c>
      <c r="M42" s="36" t="s">
        <v>0</v>
      </c>
      <c r="N42" s="36" t="s">
        <v>158</v>
      </c>
      <c r="O42" s="36" t="s">
        <v>158</v>
      </c>
      <c r="P42" s="36">
        <v>100</v>
      </c>
      <c r="Q42" s="36">
        <v>100</v>
      </c>
      <c r="R42" s="41">
        <f>SUM(R39:R41)</f>
        <v>11</v>
      </c>
      <c r="S42" s="42">
        <f>SUM(S39:S41)</f>
        <v>15.208333333333334</v>
      </c>
    </row>
    <row r="43" spans="1:19" ht="18" x14ac:dyDescent="0.35">
      <c r="A43" s="6" t="s">
        <v>59</v>
      </c>
      <c r="B43" s="7">
        <v>350</v>
      </c>
      <c r="C43" s="7">
        <v>110</v>
      </c>
      <c r="D43" s="7">
        <v>108</v>
      </c>
      <c r="E43">
        <f>B43/1.1</f>
        <v>318.18181818181813</v>
      </c>
      <c r="F43">
        <f>B43/1.08</f>
        <v>324.07407407407408</v>
      </c>
      <c r="G43">
        <f>B43/1.1/1.08</f>
        <v>294.61279461279457</v>
      </c>
      <c r="M43" s="43"/>
      <c r="N43" s="43" t="s">
        <v>39</v>
      </c>
      <c r="O43" s="43" t="s">
        <v>40</v>
      </c>
      <c r="P43" s="43" t="s">
        <v>174</v>
      </c>
      <c r="Q43" s="43" t="s">
        <v>175</v>
      </c>
      <c r="R43" s="43" t="s">
        <v>176</v>
      </c>
      <c r="S43" s="43" t="s">
        <v>177</v>
      </c>
    </row>
    <row r="44" spans="1:19" x14ac:dyDescent="0.3">
      <c r="A44" s="6" t="s">
        <v>60</v>
      </c>
      <c r="B44" s="7">
        <v>250</v>
      </c>
      <c r="C44" s="7">
        <v>112</v>
      </c>
      <c r="D44" s="7">
        <v>112.5</v>
      </c>
      <c r="E44">
        <f>B44/1.12</f>
        <v>223.21428571428569</v>
      </c>
      <c r="F44">
        <f>B44/1.125</f>
        <v>222.22222222222223</v>
      </c>
      <c r="G44">
        <f>B44/1.12/1.125</f>
        <v>198.4126984126984</v>
      </c>
    </row>
    <row r="45" spans="1:19" x14ac:dyDescent="0.3">
      <c r="A45" s="6" t="s">
        <v>0</v>
      </c>
      <c r="B45" s="7">
        <v>1250</v>
      </c>
      <c r="C45" s="6"/>
      <c r="D45" s="6"/>
      <c r="E45">
        <f>SUM(E42:E44)</f>
        <v>1143.2479557479558</v>
      </c>
      <c r="F45">
        <f t="shared" ref="F45:G45" si="14">SUM(F42:F44)</f>
        <v>1177.3642574613448</v>
      </c>
      <c r="G45">
        <f t="shared" si="14"/>
        <v>1077.3476792894269</v>
      </c>
    </row>
    <row r="46" spans="1:19" x14ac:dyDescent="0.3">
      <c r="M46" s="44">
        <f>P42/R42</f>
        <v>9.0909090909090917</v>
      </c>
    </row>
    <row r="47" spans="1:19" x14ac:dyDescent="0.3">
      <c r="A47" s="1" t="s">
        <v>206</v>
      </c>
      <c r="B47">
        <f>F45/G45</f>
        <v>1.0928359341135674</v>
      </c>
      <c r="M47" s="44">
        <f>Q42/S42</f>
        <v>6.5753424657534243</v>
      </c>
    </row>
    <row r="48" spans="1:19" x14ac:dyDescent="0.3">
      <c r="M48" s="45">
        <f>M47/M46*100</f>
        <v>72.328767123287662</v>
      </c>
      <c r="N48" s="46">
        <f>100-M48</f>
        <v>27.671232876712338</v>
      </c>
    </row>
    <row r="49" spans="1:14" x14ac:dyDescent="0.3">
      <c r="M49">
        <f>SUMPRODUCT(S39:S41,N39:N41)/S42</f>
        <v>9.7260273972602729</v>
      </c>
      <c r="N49" s="47">
        <f>(M47/M49)*100</f>
        <v>67.605633802816897</v>
      </c>
    </row>
    <row r="50" spans="1:14" ht="20.399999999999999" x14ac:dyDescent="0.3">
      <c r="A50" s="50" t="s">
        <v>62</v>
      </c>
      <c r="B50" s="3" t="s">
        <v>63</v>
      </c>
      <c r="C50" s="3" t="s">
        <v>63</v>
      </c>
      <c r="D50" s="3" t="s">
        <v>64</v>
      </c>
      <c r="E50" s="9" t="s">
        <v>5</v>
      </c>
      <c r="F50" s="9" t="s">
        <v>2</v>
      </c>
      <c r="G50" s="9" t="s">
        <v>3</v>
      </c>
      <c r="H50" s="9" t="s">
        <v>4</v>
      </c>
    </row>
    <row r="51" spans="1:14" ht="20.399999999999999" x14ac:dyDescent="0.3">
      <c r="A51" s="50"/>
      <c r="B51" s="3" t="s">
        <v>65</v>
      </c>
      <c r="C51" s="3" t="s">
        <v>66</v>
      </c>
      <c r="D51" s="3" t="s">
        <v>67</v>
      </c>
      <c r="M51">
        <f>M48/N49*100</f>
        <v>106.986301369863</v>
      </c>
      <c r="N51" s="48">
        <v>7.0000000000000007E-2</v>
      </c>
    </row>
    <row r="52" spans="1:14" x14ac:dyDescent="0.3">
      <c r="A52" s="1" t="s">
        <v>68</v>
      </c>
      <c r="B52" s="3">
        <v>15.6</v>
      </c>
      <c r="C52" s="3">
        <v>21.95</v>
      </c>
      <c r="D52" s="3">
        <v>115.07</v>
      </c>
      <c r="E52" s="10">
        <f>D52/100</f>
        <v>1.1506999999999998</v>
      </c>
      <c r="F52" s="10">
        <f>B52*E52</f>
        <v>17.950919999999996</v>
      </c>
      <c r="G52" s="10">
        <f>C52/E52</f>
        <v>19.075345441904929</v>
      </c>
      <c r="H52" s="10">
        <f>(C52/B52)/E52</f>
        <v>1.2227785539682647</v>
      </c>
    </row>
    <row r="53" spans="1:14" x14ac:dyDescent="0.3">
      <c r="A53" s="1" t="s">
        <v>7</v>
      </c>
      <c r="B53" s="3">
        <v>25.33</v>
      </c>
      <c r="C53" s="3">
        <v>24.93</v>
      </c>
      <c r="D53" s="3">
        <v>84.35</v>
      </c>
      <c r="E53" s="10">
        <f t="shared" ref="E53:E54" si="15">D53/100</f>
        <v>0.84349999999999992</v>
      </c>
      <c r="F53" s="10">
        <f t="shared" ref="F53:F54" si="16">B53*E53</f>
        <v>21.365854999999996</v>
      </c>
      <c r="G53" s="10">
        <f t="shared" ref="G53:G54" si="17">C53/E53</f>
        <v>29.555423829282752</v>
      </c>
      <c r="H53" s="10">
        <f t="shared" ref="H53:H54" si="18">(C53/B53)/E53</f>
        <v>1.1668149952342184</v>
      </c>
    </row>
    <row r="54" spans="1:14" x14ac:dyDescent="0.3">
      <c r="A54" s="1" t="s">
        <v>69</v>
      </c>
      <c r="B54" s="3">
        <v>17.920000000000002</v>
      </c>
      <c r="C54" s="3">
        <v>17.22</v>
      </c>
      <c r="D54" s="3">
        <v>115.35</v>
      </c>
      <c r="E54" s="10">
        <f t="shared" si="15"/>
        <v>1.1535</v>
      </c>
      <c r="F54" s="10">
        <f t="shared" si="16"/>
        <v>20.670720000000003</v>
      </c>
      <c r="G54" s="10">
        <f t="shared" si="17"/>
        <v>14.928478543563068</v>
      </c>
      <c r="H54" s="10">
        <f t="shared" si="18"/>
        <v>0.83306241872561759</v>
      </c>
    </row>
    <row r="55" spans="1:14" x14ac:dyDescent="0.3">
      <c r="B55" s="10">
        <f>SUM(B52:B54)</f>
        <v>58.85</v>
      </c>
      <c r="C55" s="10">
        <f>SUM(C52:C54)</f>
        <v>64.099999999999994</v>
      </c>
      <c r="E55" s="10"/>
      <c r="F55" s="10">
        <f>SUM(F52:F54)</f>
        <v>59.987494999999996</v>
      </c>
      <c r="G55" s="10">
        <f>SUM(G52:G54)</f>
        <v>63.559247814750748</v>
      </c>
      <c r="H55" s="10"/>
    </row>
    <row r="56" spans="1:14" x14ac:dyDescent="0.3">
      <c r="A56" s="1" t="s">
        <v>70</v>
      </c>
      <c r="B56" t="s">
        <v>39</v>
      </c>
      <c r="C56" t="s">
        <v>40</v>
      </c>
      <c r="D56" t="s">
        <v>71</v>
      </c>
    </row>
    <row r="61" spans="1:14" x14ac:dyDescent="0.3">
      <c r="A61" s="8" t="s">
        <v>72</v>
      </c>
      <c r="E61" s="11">
        <f>F55</f>
        <v>59.987494999999996</v>
      </c>
    </row>
    <row r="62" spans="1:14" x14ac:dyDescent="0.3">
      <c r="A62" s="8" t="s">
        <v>73</v>
      </c>
    </row>
    <row r="64" spans="1:14" x14ac:dyDescent="0.3">
      <c r="A64" s="61" t="s">
        <v>74</v>
      </c>
      <c r="B64" s="61"/>
      <c r="C64" s="61"/>
      <c r="D64" s="61"/>
      <c r="E64" s="61"/>
      <c r="F64" s="61"/>
      <c r="G64" s="11">
        <f>(H53-1)*100</f>
        <v>16.681499523421838</v>
      </c>
    </row>
    <row r="65" spans="1:7" x14ac:dyDescent="0.3">
      <c r="A65" s="8"/>
    </row>
    <row r="67" spans="1:7" x14ac:dyDescent="0.3">
      <c r="A67" s="8" t="s">
        <v>75</v>
      </c>
    </row>
    <row r="68" spans="1:7" x14ac:dyDescent="0.3">
      <c r="A68" s="8" t="s">
        <v>76</v>
      </c>
      <c r="G68" s="11">
        <f>C55-F55</f>
        <v>4.1125049999999987</v>
      </c>
    </row>
    <row r="71" spans="1:7" x14ac:dyDescent="0.3">
      <c r="A71" s="62" t="s">
        <v>77</v>
      </c>
      <c r="B71" s="62"/>
      <c r="C71" s="62"/>
      <c r="D71" s="62"/>
      <c r="G71" s="11">
        <f>C55-G55</f>
        <v>0.54075218524924651</v>
      </c>
    </row>
    <row r="72" spans="1:7" x14ac:dyDescent="0.3">
      <c r="A72" s="12"/>
      <c r="B72" s="12"/>
    </row>
    <row r="73" spans="1:7" x14ac:dyDescent="0.3">
      <c r="A73" s="12"/>
      <c r="B73" s="12"/>
    </row>
    <row r="76" spans="1:7" x14ac:dyDescent="0.3">
      <c r="A76" s="8" t="s">
        <v>78</v>
      </c>
    </row>
    <row r="77" spans="1:7" x14ac:dyDescent="0.3">
      <c r="A77" s="8" t="s">
        <v>79</v>
      </c>
      <c r="G77" s="11">
        <f>(B54-C54)*1000</f>
        <v>700.00000000000284</v>
      </c>
    </row>
    <row r="83" spans="1:8" x14ac:dyDescent="0.3">
      <c r="A83" s="1" t="s">
        <v>178</v>
      </c>
      <c r="B83" s="2" t="s">
        <v>179</v>
      </c>
      <c r="C83" s="1" t="s">
        <v>180</v>
      </c>
      <c r="D83" s="2" t="s">
        <v>181</v>
      </c>
      <c r="E83" s="1" t="s">
        <v>180</v>
      </c>
    </row>
    <row r="84" spans="1:8" x14ac:dyDescent="0.3">
      <c r="A84" s="50"/>
      <c r="B84" s="3" t="s">
        <v>182</v>
      </c>
      <c r="C84" s="3" t="s">
        <v>184</v>
      </c>
      <c r="D84" s="3" t="s">
        <v>182</v>
      </c>
      <c r="E84" s="3" t="s">
        <v>184</v>
      </c>
    </row>
    <row r="85" spans="1:8" ht="20.399999999999999" x14ac:dyDescent="0.3">
      <c r="A85" s="50"/>
      <c r="B85" s="3" t="s">
        <v>183</v>
      </c>
      <c r="C85" s="3" t="s">
        <v>185</v>
      </c>
      <c r="D85" s="3" t="s">
        <v>183</v>
      </c>
      <c r="E85" s="3" t="s">
        <v>185</v>
      </c>
    </row>
    <row r="86" spans="1:8" ht="20.399999999999999" x14ac:dyDescent="0.3">
      <c r="A86" s="1" t="s">
        <v>186</v>
      </c>
      <c r="B86" s="3">
        <v>22</v>
      </c>
      <c r="C86" s="3">
        <v>2360</v>
      </c>
      <c r="D86" s="3">
        <v>17</v>
      </c>
      <c r="E86" s="3">
        <v>2144</v>
      </c>
      <c r="F86">
        <f>C86/B86</f>
        <v>107.27272727272727</v>
      </c>
      <c r="H86">
        <f>D86*F86</f>
        <v>1823.6363636363635</v>
      </c>
    </row>
    <row r="87" spans="1:8" ht="20.399999999999999" x14ac:dyDescent="0.3">
      <c r="A87" s="1" t="s">
        <v>187</v>
      </c>
      <c r="B87" s="3">
        <v>41</v>
      </c>
      <c r="C87" s="3">
        <v>3984</v>
      </c>
      <c r="D87" s="3">
        <v>40</v>
      </c>
      <c r="E87" s="3">
        <v>4578</v>
      </c>
      <c r="F87">
        <f t="shared" ref="F87:F88" si="19">C87/B87</f>
        <v>97.170731707317074</v>
      </c>
      <c r="H87">
        <f t="shared" ref="H87:H88" si="20">D87*F87</f>
        <v>3886.8292682926831</v>
      </c>
    </row>
    <row r="88" spans="1:8" ht="20.399999999999999" x14ac:dyDescent="0.3">
      <c r="A88" s="1" t="s">
        <v>188</v>
      </c>
      <c r="B88" s="3">
        <v>50</v>
      </c>
      <c r="C88" s="3">
        <v>4100</v>
      </c>
      <c r="D88" s="3">
        <v>60</v>
      </c>
      <c r="E88" s="3">
        <v>5850</v>
      </c>
      <c r="F88">
        <f t="shared" si="19"/>
        <v>82</v>
      </c>
      <c r="H88">
        <f t="shared" si="20"/>
        <v>4920</v>
      </c>
    </row>
    <row r="89" spans="1:8" x14ac:dyDescent="0.3">
      <c r="A89" s="1" t="s">
        <v>0</v>
      </c>
      <c r="B89" s="3">
        <v>113</v>
      </c>
      <c r="C89" s="3">
        <v>10444</v>
      </c>
      <c r="D89" s="3">
        <v>117</v>
      </c>
      <c r="E89" s="3">
        <v>12572</v>
      </c>
      <c r="F89">
        <f>SUM(F86:F88)</f>
        <v>286.44345898004434</v>
      </c>
      <c r="H89">
        <f t="shared" ref="H89" si="21">SUM(H86:H88)</f>
        <v>10630.465631929046</v>
      </c>
    </row>
    <row r="92" spans="1:8" x14ac:dyDescent="0.3">
      <c r="A92" s="1" t="s">
        <v>190</v>
      </c>
      <c r="B92">
        <f>((E89/D89)/(C89/B89))*100</f>
        <v>116.2599390481428</v>
      </c>
    </row>
    <row r="93" spans="1:8" x14ac:dyDescent="0.3">
      <c r="A93" s="1" t="s">
        <v>192</v>
      </c>
      <c r="B93">
        <f>(E89/H89)*100</f>
        <v>118.26386947942784</v>
      </c>
    </row>
    <row r="94" spans="1:8" x14ac:dyDescent="0.3">
      <c r="A94" s="1" t="s">
        <v>51</v>
      </c>
      <c r="B94">
        <f>B92/B93</f>
        <v>0.98305542986115779</v>
      </c>
    </row>
  </sheetData>
  <mergeCells count="7">
    <mergeCell ref="M2:M3"/>
    <mergeCell ref="A84:A85"/>
    <mergeCell ref="A12:A13"/>
    <mergeCell ref="A40:A41"/>
    <mergeCell ref="A50:A51"/>
    <mergeCell ref="A64:F64"/>
    <mergeCell ref="A71:D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F1A1E-572E-4DC3-9FC1-77975FBF93EC}">
  <dimension ref="A1:E58"/>
  <sheetViews>
    <sheetView topLeftCell="A41" workbookViewId="0">
      <selection activeCell="F58" sqref="F58"/>
    </sheetView>
  </sheetViews>
  <sheetFormatPr defaultRowHeight="14.4" x14ac:dyDescent="0.3"/>
  <sheetData>
    <row r="1" spans="1:5" ht="20.399999999999999" x14ac:dyDescent="0.3">
      <c r="A1" s="53" t="s">
        <v>97</v>
      </c>
      <c r="B1" s="19" t="s">
        <v>98</v>
      </c>
      <c r="C1" s="19" t="s">
        <v>100</v>
      </c>
      <c r="D1" s="19" t="s">
        <v>100</v>
      </c>
      <c r="E1" s="19" t="s">
        <v>103</v>
      </c>
    </row>
    <row r="2" spans="1:5" ht="21" thickBot="1" x14ac:dyDescent="0.35">
      <c r="A2" s="54"/>
      <c r="B2" s="20" t="s">
        <v>99</v>
      </c>
      <c r="C2" s="20" t="s">
        <v>101</v>
      </c>
      <c r="D2" s="20" t="s">
        <v>102</v>
      </c>
      <c r="E2" s="20" t="s">
        <v>104</v>
      </c>
    </row>
    <row r="3" spans="1:5" ht="15" thickBot="1" x14ac:dyDescent="0.35">
      <c r="A3" s="21">
        <v>2011</v>
      </c>
      <c r="B3" s="22">
        <v>62</v>
      </c>
      <c r="C3" s="21"/>
      <c r="D3" s="21"/>
      <c r="E3" s="21"/>
    </row>
    <row r="4" spans="1:5" ht="15" thickBot="1" x14ac:dyDescent="0.35">
      <c r="A4" s="21">
        <v>2012</v>
      </c>
      <c r="B4" s="32">
        <f>B3*0.96774</f>
        <v>59.999880000000005</v>
      </c>
      <c r="C4" s="22">
        <v>96.774000000000001</v>
      </c>
      <c r="D4" s="21"/>
      <c r="E4" s="21"/>
    </row>
    <row r="5" spans="1:5" ht="15" thickBot="1" x14ac:dyDescent="0.35">
      <c r="A5" s="21">
        <v>2013</v>
      </c>
      <c r="B5" s="22">
        <v>59</v>
      </c>
      <c r="C5" s="21"/>
      <c r="D5" s="21"/>
      <c r="E5" s="22">
        <v>-1</v>
      </c>
    </row>
    <row r="6" spans="1:5" ht="15" thickBot="1" x14ac:dyDescent="0.35">
      <c r="A6" s="21">
        <v>2014</v>
      </c>
      <c r="B6" s="32">
        <v>59.5</v>
      </c>
      <c r="C6" s="21"/>
      <c r="D6" s="21"/>
      <c r="E6" s="22">
        <v>0.5</v>
      </c>
    </row>
    <row r="7" spans="1:5" ht="15" thickBot="1" x14ac:dyDescent="0.35">
      <c r="A7" s="21">
        <v>2015</v>
      </c>
      <c r="B7" s="33">
        <f>59.5*1.02521</f>
        <v>60.999994999999998</v>
      </c>
      <c r="C7" s="21"/>
      <c r="D7" s="22">
        <v>102.521</v>
      </c>
      <c r="E7" s="21"/>
    </row>
    <row r="8" spans="1:5" ht="15" thickBot="1" x14ac:dyDescent="0.35">
      <c r="A8" s="21">
        <v>2016</v>
      </c>
      <c r="B8" s="22">
        <v>61</v>
      </c>
      <c r="C8" s="21"/>
      <c r="D8" s="21"/>
      <c r="E8" s="21"/>
    </row>
    <row r="9" spans="1:5" ht="15" thickBot="1" x14ac:dyDescent="0.35">
      <c r="A9" s="21">
        <v>2017</v>
      </c>
      <c r="B9" s="33">
        <v>62</v>
      </c>
      <c r="C9" s="22">
        <v>100</v>
      </c>
      <c r="D9" s="21"/>
      <c r="E9" s="21"/>
    </row>
    <row r="10" spans="1:5" ht="15" thickBot="1" x14ac:dyDescent="0.35">
      <c r="A10" s="21">
        <v>2018</v>
      </c>
      <c r="B10" s="33">
        <v>63.5</v>
      </c>
      <c r="C10" s="34">
        <v>102.4194</v>
      </c>
      <c r="D10" s="32">
        <v>2.4194</v>
      </c>
      <c r="E10" s="22">
        <v>1.5</v>
      </c>
    </row>
    <row r="14" spans="1:5" x14ac:dyDescent="0.3">
      <c r="A14">
        <f>B3*0.96774</f>
        <v>59.999880000000005</v>
      </c>
    </row>
    <row r="15" spans="1:5" x14ac:dyDescent="0.3">
      <c r="A15">
        <f>100-C4</f>
        <v>3.2259999999999991</v>
      </c>
    </row>
    <row r="16" spans="1:5" x14ac:dyDescent="0.3">
      <c r="A16">
        <f>1-(59.5/62)</f>
        <v>4.0322580645161255E-2</v>
      </c>
    </row>
    <row r="17" spans="1:4" x14ac:dyDescent="0.3">
      <c r="A17">
        <f>63.5/62</f>
        <v>1.0241935483870968</v>
      </c>
    </row>
    <row r="20" spans="1:4" ht="15" thickBot="1" x14ac:dyDescent="0.35"/>
    <row r="21" spans="1:4" ht="15" thickBot="1" x14ac:dyDescent="0.35">
      <c r="A21" s="21" t="s">
        <v>97</v>
      </c>
      <c r="B21" s="22" t="s">
        <v>128</v>
      </c>
      <c r="C21" s="22" t="s">
        <v>129</v>
      </c>
    </row>
    <row r="22" spans="1:4" ht="15" thickBot="1" x14ac:dyDescent="0.35">
      <c r="A22" s="21">
        <v>2016</v>
      </c>
      <c r="B22" s="22">
        <v>128591</v>
      </c>
      <c r="C22" s="29">
        <v>1</v>
      </c>
    </row>
    <row r="23" spans="1:4" ht="15" thickBot="1" x14ac:dyDescent="0.35">
      <c r="A23" s="21">
        <v>2017</v>
      </c>
      <c r="B23" s="21">
        <f>B22*D23</f>
        <v>124861.86099999999</v>
      </c>
      <c r="C23" s="29">
        <v>0.97099999999999997</v>
      </c>
      <c r="D23">
        <v>0.97099999999999997</v>
      </c>
    </row>
    <row r="24" spans="1:4" ht="15" thickBot="1" x14ac:dyDescent="0.35">
      <c r="A24" s="21">
        <v>2018</v>
      </c>
      <c r="B24" s="21">
        <f>B22*D24</f>
        <v>121647.086</v>
      </c>
      <c r="C24" s="29">
        <v>0.94599999999999995</v>
      </c>
      <c r="D24">
        <v>0.94599999999999995</v>
      </c>
    </row>
    <row r="25" spans="1:4" ht="15" thickBot="1" x14ac:dyDescent="0.35">
      <c r="A25" s="21">
        <v>2019</v>
      </c>
      <c r="B25" s="21">
        <f>B22*D25</f>
        <v>120618.35799999999</v>
      </c>
      <c r="C25" s="29">
        <v>0.93799999999999994</v>
      </c>
      <c r="D25">
        <v>0.93799999999999994</v>
      </c>
    </row>
    <row r="26" spans="1:4" ht="15" thickBot="1" x14ac:dyDescent="0.35">
      <c r="A26" s="21">
        <v>2020</v>
      </c>
      <c r="B26" s="21">
        <f>B22*D26</f>
        <v>115603.30900000001</v>
      </c>
      <c r="C26" s="29">
        <v>0.89900000000000002</v>
      </c>
      <c r="D26">
        <v>0.89900000000000002</v>
      </c>
    </row>
    <row r="27" spans="1:4" ht="15" thickBot="1" x14ac:dyDescent="0.35">
      <c r="A27" s="21">
        <v>2021</v>
      </c>
      <c r="B27" s="22">
        <v>110650</v>
      </c>
      <c r="C27" s="21"/>
    </row>
    <row r="30" spans="1:4" x14ac:dyDescent="0.3">
      <c r="A30">
        <f>(B25/B24)</f>
        <v>0.9915433403805497</v>
      </c>
    </row>
    <row r="31" spans="1:4" x14ac:dyDescent="0.3">
      <c r="A31">
        <f>1-(B24/B23)</f>
        <v>2.5746652935118353E-2</v>
      </c>
    </row>
    <row r="36" spans="1:4" ht="15" thickBot="1" x14ac:dyDescent="0.35"/>
    <row r="37" spans="1:4" ht="15" thickBot="1" x14ac:dyDescent="0.35">
      <c r="A37" s="21" t="s">
        <v>97</v>
      </c>
      <c r="B37" s="22" t="s">
        <v>128</v>
      </c>
      <c r="C37" s="22" t="s">
        <v>129</v>
      </c>
    </row>
    <row r="38" spans="1:4" ht="15" thickBot="1" x14ac:dyDescent="0.35">
      <c r="A38" s="21">
        <v>2016</v>
      </c>
      <c r="B38" s="22">
        <v>128591</v>
      </c>
      <c r="C38" s="29">
        <v>1</v>
      </c>
    </row>
    <row r="39" spans="1:4" ht="15" thickBot="1" x14ac:dyDescent="0.35">
      <c r="A39" s="21">
        <v>2017</v>
      </c>
      <c r="B39" s="21">
        <f>ROUND(B38*D39,0)</f>
        <v>124862</v>
      </c>
      <c r="C39" s="29">
        <v>0.97099999999999997</v>
      </c>
      <c r="D39">
        <v>0.97099999999999997</v>
      </c>
    </row>
    <row r="40" spans="1:4" ht="15" thickBot="1" x14ac:dyDescent="0.35">
      <c r="A40" s="21">
        <v>2018</v>
      </c>
      <c r="B40" s="21">
        <f>ROUND(B38*D40,0)</f>
        <v>121647</v>
      </c>
      <c r="C40" s="29">
        <v>0.94599999999999995</v>
      </c>
      <c r="D40">
        <v>0.94599999999999995</v>
      </c>
    </row>
    <row r="41" spans="1:4" ht="15" thickBot="1" x14ac:dyDescent="0.35">
      <c r="A41" s="21">
        <v>2019</v>
      </c>
      <c r="B41" s="21">
        <f>ROUND(B38*D41,0)</f>
        <v>120618</v>
      </c>
      <c r="C41" s="29">
        <v>0.93799999999999994</v>
      </c>
      <c r="D41">
        <v>0.93799999999999994</v>
      </c>
    </row>
    <row r="42" spans="1:4" ht="15" thickBot="1" x14ac:dyDescent="0.35">
      <c r="A42" s="21">
        <v>2020</v>
      </c>
      <c r="B42" s="21">
        <f>ROUND(B38*D42,0)</f>
        <v>115603</v>
      </c>
      <c r="C42" s="29">
        <v>0.89900000000000002</v>
      </c>
      <c r="D42">
        <v>0.89900000000000002</v>
      </c>
    </row>
    <row r="43" spans="1:4" ht="15" thickBot="1" x14ac:dyDescent="0.35">
      <c r="A43" s="21">
        <v>2021</v>
      </c>
      <c r="B43" s="22">
        <v>110650</v>
      </c>
      <c r="C43" s="21">
        <f>ROUND(86.048,2)</f>
        <v>86.05</v>
      </c>
    </row>
    <row r="46" spans="1:4" x14ac:dyDescent="0.3">
      <c r="A46">
        <f>B43/B38</f>
        <v>0.86048012691401421</v>
      </c>
    </row>
    <row r="48" spans="1:4" x14ac:dyDescent="0.3">
      <c r="A48">
        <f>100-(100/(B42/B43))</f>
        <v>4.2844908869146963</v>
      </c>
    </row>
    <row r="50" spans="1:4" ht="15" thickBot="1" x14ac:dyDescent="0.35"/>
    <row r="51" spans="1:4" ht="20.399999999999999" x14ac:dyDescent="0.3">
      <c r="A51" s="51" t="s">
        <v>130</v>
      </c>
      <c r="B51" s="55" t="s">
        <v>131</v>
      </c>
      <c r="C51" s="55" t="s">
        <v>132</v>
      </c>
      <c r="D51" s="23" t="s">
        <v>133</v>
      </c>
    </row>
    <row r="52" spans="1:4" ht="21" thickBot="1" x14ac:dyDescent="0.35">
      <c r="A52" s="52"/>
      <c r="B52" s="56"/>
      <c r="C52" s="56"/>
      <c r="D52" s="24" t="s">
        <v>134</v>
      </c>
    </row>
    <row r="53" spans="1:4" ht="31.2" thickBot="1" x14ac:dyDescent="0.35">
      <c r="A53" s="25" t="s">
        <v>135</v>
      </c>
      <c r="B53" s="26">
        <v>100000</v>
      </c>
      <c r="C53" s="26">
        <v>125000</v>
      </c>
      <c r="D53" s="25">
        <v>125</v>
      </c>
    </row>
    <row r="54" spans="1:4" ht="41.4" thickBot="1" x14ac:dyDescent="0.35">
      <c r="A54" s="25" t="s">
        <v>136</v>
      </c>
      <c r="B54" s="25">
        <f>(B55*B56)/100</f>
        <v>200</v>
      </c>
      <c r="C54" s="25">
        <f>B54*1.05</f>
        <v>210</v>
      </c>
      <c r="D54" s="27">
        <v>105</v>
      </c>
    </row>
    <row r="55" spans="1:4" ht="31.2" thickBot="1" x14ac:dyDescent="0.35">
      <c r="A55" s="25" t="s">
        <v>137</v>
      </c>
      <c r="B55" s="25">
        <f>(C55/D55)*100</f>
        <v>250</v>
      </c>
      <c r="C55" s="27">
        <v>250</v>
      </c>
      <c r="D55" s="27">
        <v>100</v>
      </c>
    </row>
    <row r="56" spans="1:4" ht="21" thickBot="1" x14ac:dyDescent="0.35">
      <c r="A56" s="25" t="s">
        <v>138</v>
      </c>
      <c r="B56" s="27">
        <v>80</v>
      </c>
      <c r="C56" s="25">
        <f>(C54/C55)*100</f>
        <v>84</v>
      </c>
      <c r="D56" s="25">
        <v>105</v>
      </c>
    </row>
    <row r="57" spans="1:4" ht="51.6" thickBot="1" x14ac:dyDescent="0.35">
      <c r="A57" s="25" t="s">
        <v>139</v>
      </c>
      <c r="B57" s="25">
        <f>B53/B55</f>
        <v>400</v>
      </c>
      <c r="C57" s="25">
        <f>C53/C55</f>
        <v>500</v>
      </c>
      <c r="D57" s="25">
        <v>125</v>
      </c>
    </row>
    <row r="58" spans="1:4" ht="41.4" thickBot="1" x14ac:dyDescent="0.35">
      <c r="A58" s="25" t="s">
        <v>140</v>
      </c>
      <c r="B58" s="25">
        <f>B53/B54</f>
        <v>500</v>
      </c>
      <c r="C58" s="25">
        <f>C53/C54</f>
        <v>595.23809523809518</v>
      </c>
      <c r="D58" s="25">
        <v>119</v>
      </c>
    </row>
  </sheetData>
  <mergeCells count="4">
    <mergeCell ref="A1:A2"/>
    <mergeCell ref="A51:A52"/>
    <mergeCell ref="B51:B52"/>
    <mergeCell ref="C51:C5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BB866-AC22-4F59-AD7B-EBC2374D5104}">
  <dimension ref="A1:H24"/>
  <sheetViews>
    <sheetView workbookViewId="0">
      <selection activeCell="A25" sqref="A25"/>
    </sheetView>
  </sheetViews>
  <sheetFormatPr defaultRowHeight="14.4" x14ac:dyDescent="0.3"/>
  <sheetData>
    <row r="1" spans="1:8" ht="30.6" x14ac:dyDescent="0.3">
      <c r="A1" s="1" t="s">
        <v>29</v>
      </c>
      <c r="B1" s="3" t="s">
        <v>30</v>
      </c>
      <c r="C1" s="3" t="s">
        <v>30</v>
      </c>
      <c r="D1" s="3" t="s">
        <v>31</v>
      </c>
      <c r="E1" s="3" t="s">
        <v>31</v>
      </c>
    </row>
    <row r="2" spans="1:8" ht="20.399999999999999" x14ac:dyDescent="0.3">
      <c r="A2" s="1" t="s">
        <v>32</v>
      </c>
      <c r="B2" s="3" t="s">
        <v>24</v>
      </c>
      <c r="C2" s="3" t="s">
        <v>24</v>
      </c>
      <c r="D2" s="3" t="s">
        <v>33</v>
      </c>
      <c r="E2" s="3" t="s">
        <v>33</v>
      </c>
    </row>
    <row r="3" spans="1:8" x14ac:dyDescent="0.3">
      <c r="A3" s="1"/>
      <c r="B3" s="3" t="s">
        <v>34</v>
      </c>
      <c r="C3" s="3" t="s">
        <v>35</v>
      </c>
      <c r="D3" s="3" t="s">
        <v>35</v>
      </c>
      <c r="E3" s="3" t="s">
        <v>34</v>
      </c>
      <c r="F3">
        <v>2020</v>
      </c>
      <c r="G3">
        <v>2021</v>
      </c>
      <c r="H3" s="3" t="s">
        <v>205</v>
      </c>
    </row>
    <row r="4" spans="1:8" ht="20.399999999999999" x14ac:dyDescent="0.3">
      <c r="A4" s="1" t="s">
        <v>36</v>
      </c>
      <c r="B4" s="3">
        <v>40</v>
      </c>
      <c r="C4" s="3">
        <v>68.900000000000006</v>
      </c>
      <c r="D4" s="3">
        <v>90</v>
      </c>
      <c r="E4" s="3">
        <v>100</v>
      </c>
      <c r="F4">
        <f>C4/D4</f>
        <v>0.76555555555555566</v>
      </c>
      <c r="G4">
        <f>B4/E4</f>
        <v>0.4</v>
      </c>
      <c r="H4">
        <f>G4*D4</f>
        <v>36</v>
      </c>
    </row>
    <row r="5" spans="1:8" ht="20.399999999999999" x14ac:dyDescent="0.3">
      <c r="A5" s="1" t="s">
        <v>37</v>
      </c>
      <c r="B5" s="3">
        <v>20</v>
      </c>
      <c r="C5" s="3">
        <v>16.7</v>
      </c>
      <c r="D5" s="3">
        <v>50</v>
      </c>
      <c r="E5" s="3">
        <v>56</v>
      </c>
      <c r="F5">
        <f t="shared" ref="F5:F6" si="0">C5/D5</f>
        <v>0.33399999999999996</v>
      </c>
      <c r="G5">
        <f t="shared" ref="G5:G6" si="1">B5/E5</f>
        <v>0.35714285714285715</v>
      </c>
      <c r="H5">
        <f t="shared" ref="H5:H6" si="2">G5*D5</f>
        <v>17.857142857142858</v>
      </c>
    </row>
    <row r="6" spans="1:8" ht="20.399999999999999" x14ac:dyDescent="0.3">
      <c r="A6" s="1" t="s">
        <v>38</v>
      </c>
      <c r="B6" s="3">
        <v>40</v>
      </c>
      <c r="C6" s="3">
        <v>14.4</v>
      </c>
      <c r="D6" s="3">
        <v>42</v>
      </c>
      <c r="E6" s="3">
        <v>45</v>
      </c>
      <c r="F6">
        <f t="shared" si="0"/>
        <v>0.34285714285714286</v>
      </c>
      <c r="G6">
        <f t="shared" si="1"/>
        <v>0.88888888888888884</v>
      </c>
      <c r="H6">
        <f t="shared" si="2"/>
        <v>37.333333333333329</v>
      </c>
    </row>
    <row r="7" spans="1:8" x14ac:dyDescent="0.3">
      <c r="A7" s="1" t="s">
        <v>0</v>
      </c>
      <c r="B7" s="3">
        <v>100</v>
      </c>
      <c r="C7" s="3">
        <v>100</v>
      </c>
      <c r="D7" s="1"/>
      <c r="E7" s="5"/>
      <c r="F7">
        <f>SUM(F4:F6)</f>
        <v>1.4424126984126984</v>
      </c>
      <c r="G7">
        <f>SUM(G4:G6)</f>
        <v>1.646031746031746</v>
      </c>
      <c r="H7">
        <f>SUM(H4:H6)</f>
        <v>91.19047619047619</v>
      </c>
    </row>
    <row r="8" spans="1:8" x14ac:dyDescent="0.3">
      <c r="H8">
        <f>H7/G7</f>
        <v>55.400192864030863</v>
      </c>
    </row>
    <row r="11" spans="1:8" x14ac:dyDescent="0.3">
      <c r="A11">
        <f>100/F7</f>
        <v>69.32828594066379</v>
      </c>
    </row>
    <row r="12" spans="1:8" x14ac:dyDescent="0.3">
      <c r="A12">
        <f>100/G7</f>
        <v>60.752169720347155</v>
      </c>
    </row>
    <row r="13" spans="1:8" x14ac:dyDescent="0.3">
      <c r="A13">
        <f>1-(A12/A11)</f>
        <v>0.12370298939247826</v>
      </c>
    </row>
    <row r="14" spans="1:8" x14ac:dyDescent="0.3">
      <c r="A14">
        <f>A12/H8</f>
        <v>1.0966057441253263</v>
      </c>
    </row>
    <row r="15" spans="1:8" x14ac:dyDescent="0.3">
      <c r="A15">
        <f>(H8/A11)</f>
        <v>0.79909941681590679</v>
      </c>
    </row>
    <row r="17" spans="1:7" ht="20.399999999999999" x14ac:dyDescent="0.3">
      <c r="A17" s="75" t="s">
        <v>8</v>
      </c>
      <c r="B17" s="65" t="s">
        <v>52</v>
      </c>
      <c r="C17" s="65" t="s">
        <v>54</v>
      </c>
      <c r="D17" s="65" t="s">
        <v>56</v>
      </c>
    </row>
    <row r="18" spans="1:7" ht="20.399999999999999" x14ac:dyDescent="0.3">
      <c r="A18" s="75"/>
      <c r="B18" s="65" t="s">
        <v>53</v>
      </c>
      <c r="C18" s="65" t="s">
        <v>55</v>
      </c>
      <c r="D18" s="65" t="s">
        <v>57</v>
      </c>
      <c r="E18" s="65" t="s">
        <v>2</v>
      </c>
      <c r="F18" s="65" t="s">
        <v>3</v>
      </c>
    </row>
    <row r="19" spans="1:7" x14ac:dyDescent="0.3">
      <c r="A19" s="63" t="s">
        <v>58</v>
      </c>
      <c r="B19" s="65">
        <v>650</v>
      </c>
      <c r="C19" s="65">
        <v>108</v>
      </c>
      <c r="D19" s="65">
        <v>103</v>
      </c>
      <c r="E19">
        <f>B19/1.08</f>
        <v>601.85185185185185</v>
      </c>
      <c r="F19">
        <f>B19/1.03</f>
        <v>631.06796116504847</v>
      </c>
      <c r="G19">
        <f>B19/1.08/1.03</f>
        <v>584.32218626393387</v>
      </c>
    </row>
    <row r="20" spans="1:7" x14ac:dyDescent="0.3">
      <c r="A20" s="63" t="s">
        <v>59</v>
      </c>
      <c r="B20" s="65">
        <v>350</v>
      </c>
      <c r="C20" s="65">
        <v>110</v>
      </c>
      <c r="D20" s="65">
        <v>108</v>
      </c>
      <c r="E20">
        <f>B20/1.1</f>
        <v>318.18181818181813</v>
      </c>
      <c r="F20">
        <f>B20/1.08</f>
        <v>324.07407407407408</v>
      </c>
      <c r="G20">
        <f>B20/1.1/1.08</f>
        <v>294.61279461279457</v>
      </c>
    </row>
    <row r="21" spans="1:7" x14ac:dyDescent="0.3">
      <c r="A21" s="63" t="s">
        <v>60</v>
      </c>
      <c r="B21" s="65">
        <v>250</v>
      </c>
      <c r="C21" s="65">
        <v>112</v>
      </c>
      <c r="D21" s="65">
        <v>112.5</v>
      </c>
      <c r="E21">
        <f>B21/1.12</f>
        <v>223.21428571428569</v>
      </c>
      <c r="F21">
        <f>B21/1.125</f>
        <v>222.22222222222223</v>
      </c>
      <c r="G21">
        <f>B21/1.12/1.125</f>
        <v>198.4126984126984</v>
      </c>
    </row>
    <row r="22" spans="1:7" x14ac:dyDescent="0.3">
      <c r="A22" s="63" t="s">
        <v>0</v>
      </c>
      <c r="B22" s="65">
        <v>1250</v>
      </c>
      <c r="C22" s="63"/>
      <c r="D22" s="63"/>
      <c r="E22">
        <f>SUM(E19:E21)</f>
        <v>1143.2479557479558</v>
      </c>
      <c r="F22">
        <f t="shared" ref="F22:G22" si="3">SUM(F19:F21)</f>
        <v>1177.3642574613448</v>
      </c>
      <c r="G22">
        <f t="shared" si="3"/>
        <v>1077.3476792894269</v>
      </c>
    </row>
    <row r="24" spans="1:7" x14ac:dyDescent="0.3">
      <c r="A24" s="63" t="s">
        <v>206</v>
      </c>
      <c r="B24">
        <f>(F22/G22)</f>
        <v>1.0928359341135674</v>
      </c>
    </row>
  </sheetData>
  <mergeCells count="1">
    <mergeCell ref="A17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348E-DB79-47A0-9FC0-175BCAB5415A}">
  <dimension ref="A1:G39"/>
  <sheetViews>
    <sheetView topLeftCell="A9" workbookViewId="0">
      <selection activeCell="B40" sqref="B40"/>
    </sheetView>
  </sheetViews>
  <sheetFormatPr defaultRowHeight="14.4" x14ac:dyDescent="0.3"/>
  <sheetData>
    <row r="1" spans="1:7" ht="20.399999999999999" x14ac:dyDescent="0.3">
      <c r="A1" s="1" t="s">
        <v>150</v>
      </c>
      <c r="B1" s="3" t="s">
        <v>151</v>
      </c>
      <c r="C1" s="3" t="s">
        <v>151</v>
      </c>
      <c r="D1" s="3" t="s">
        <v>150</v>
      </c>
      <c r="E1" s="3" t="s">
        <v>150</v>
      </c>
    </row>
    <row r="2" spans="1:7" ht="20.399999999999999" x14ac:dyDescent="0.3">
      <c r="A2" s="1" t="s">
        <v>152</v>
      </c>
      <c r="B2" s="3" t="s">
        <v>153</v>
      </c>
      <c r="C2" s="3" t="s">
        <v>153</v>
      </c>
      <c r="D2" s="3" t="s">
        <v>154</v>
      </c>
      <c r="E2" s="3" t="s">
        <v>154</v>
      </c>
    </row>
    <row r="3" spans="1:7" x14ac:dyDescent="0.3">
      <c r="A3" s="1"/>
      <c r="B3" s="3">
        <v>2020</v>
      </c>
      <c r="C3" s="3">
        <v>2021</v>
      </c>
      <c r="D3" s="3">
        <v>2020</v>
      </c>
      <c r="E3" s="3">
        <v>2021</v>
      </c>
      <c r="F3" s="3">
        <v>2020</v>
      </c>
      <c r="G3" s="3">
        <v>2021</v>
      </c>
    </row>
    <row r="4" spans="1:7" x14ac:dyDescent="0.3">
      <c r="A4" s="1" t="s">
        <v>155</v>
      </c>
      <c r="B4" s="3">
        <v>10</v>
      </c>
      <c r="C4" s="3">
        <v>5</v>
      </c>
      <c r="D4" s="3">
        <v>40</v>
      </c>
      <c r="E4" s="3">
        <v>50</v>
      </c>
      <c r="F4">
        <f>D4/B4</f>
        <v>4</v>
      </c>
      <c r="G4">
        <f>E4/C4</f>
        <v>10</v>
      </c>
    </row>
    <row r="5" spans="1:7" x14ac:dyDescent="0.3">
      <c r="A5" s="1" t="s">
        <v>156</v>
      </c>
      <c r="B5" s="3">
        <v>10</v>
      </c>
      <c r="C5" s="3">
        <v>8</v>
      </c>
      <c r="D5" s="3">
        <v>20</v>
      </c>
      <c r="E5" s="3">
        <v>25</v>
      </c>
      <c r="F5">
        <f t="shared" ref="F5:F6" si="0">D5/B5</f>
        <v>2</v>
      </c>
      <c r="G5">
        <f t="shared" ref="G5:G6" si="1">E5/C5</f>
        <v>3.125</v>
      </c>
    </row>
    <row r="6" spans="1:7" x14ac:dyDescent="0.3">
      <c r="A6" s="1" t="s">
        <v>157</v>
      </c>
      <c r="B6" s="3">
        <v>8</v>
      </c>
      <c r="C6" s="3">
        <v>12</v>
      </c>
      <c r="D6" s="3">
        <v>40</v>
      </c>
      <c r="E6" s="3">
        <v>25</v>
      </c>
      <c r="F6">
        <f t="shared" si="0"/>
        <v>5</v>
      </c>
      <c r="G6">
        <f t="shared" si="1"/>
        <v>2.0833333333333335</v>
      </c>
    </row>
    <row r="7" spans="1:7" x14ac:dyDescent="0.3">
      <c r="A7" s="1" t="s">
        <v>0</v>
      </c>
      <c r="B7" s="3" t="s">
        <v>158</v>
      </c>
      <c r="C7" s="3" t="s">
        <v>158</v>
      </c>
      <c r="D7" s="3">
        <v>100</v>
      </c>
      <c r="E7" s="3">
        <v>100</v>
      </c>
      <c r="F7">
        <f>SUM(F4:F6)</f>
        <v>11</v>
      </c>
      <c r="G7">
        <f>SUM(G4:G6)</f>
        <v>15.208333333333334</v>
      </c>
    </row>
    <row r="10" spans="1:7" x14ac:dyDescent="0.3">
      <c r="A10">
        <f>100/F7</f>
        <v>9.0909090909090917</v>
      </c>
    </row>
    <row r="11" spans="1:7" x14ac:dyDescent="0.3">
      <c r="A11">
        <f>100/G7</f>
        <v>6.5753424657534243</v>
      </c>
    </row>
    <row r="12" spans="1:7" x14ac:dyDescent="0.3">
      <c r="A12">
        <f>1-(A11/A10)</f>
        <v>0.27671232876712337</v>
      </c>
    </row>
    <row r="14" spans="1:7" ht="15" thickBot="1" x14ac:dyDescent="0.35"/>
    <row r="15" spans="1:7" ht="31.2" thickBot="1" x14ac:dyDescent="0.35">
      <c r="A15" s="21" t="s">
        <v>105</v>
      </c>
      <c r="B15" s="22" t="s">
        <v>106</v>
      </c>
      <c r="D15" t="s">
        <v>159</v>
      </c>
    </row>
    <row r="16" spans="1:7" ht="15" thickBot="1" x14ac:dyDescent="0.35">
      <c r="A16" s="22">
        <v>-20</v>
      </c>
      <c r="B16" s="22">
        <v>11</v>
      </c>
      <c r="D16">
        <v>15</v>
      </c>
      <c r="E16">
        <f>D16*B16</f>
        <v>165</v>
      </c>
    </row>
    <row r="17" spans="1:5" ht="15" thickBot="1" x14ac:dyDescent="0.35">
      <c r="A17" s="22" t="s">
        <v>107</v>
      </c>
      <c r="B17" s="22">
        <v>27</v>
      </c>
      <c r="D17">
        <v>25</v>
      </c>
      <c r="E17">
        <f t="shared" ref="E17:E21" si="2">D17*B17</f>
        <v>675</v>
      </c>
    </row>
    <row r="18" spans="1:5" ht="15" thickBot="1" x14ac:dyDescent="0.35">
      <c r="A18" s="22" t="s">
        <v>108</v>
      </c>
      <c r="B18" s="22">
        <v>31</v>
      </c>
      <c r="D18">
        <v>35</v>
      </c>
      <c r="E18">
        <f t="shared" si="2"/>
        <v>1085</v>
      </c>
    </row>
    <row r="19" spans="1:5" ht="15" thickBot="1" x14ac:dyDescent="0.35">
      <c r="A19" s="22" t="s">
        <v>109</v>
      </c>
      <c r="B19" s="22">
        <v>40</v>
      </c>
      <c r="D19">
        <v>45</v>
      </c>
      <c r="E19">
        <f t="shared" si="2"/>
        <v>1800</v>
      </c>
    </row>
    <row r="20" spans="1:5" ht="15" thickBot="1" x14ac:dyDescent="0.35">
      <c r="A20" s="22" t="s">
        <v>110</v>
      </c>
      <c r="B20" s="22">
        <v>32</v>
      </c>
      <c r="D20">
        <v>55</v>
      </c>
      <c r="E20">
        <f t="shared" si="2"/>
        <v>1760</v>
      </c>
    </row>
    <row r="21" spans="1:5" ht="15" thickBot="1" x14ac:dyDescent="0.35">
      <c r="A21" s="21" t="s">
        <v>111</v>
      </c>
      <c r="B21" s="22">
        <v>22</v>
      </c>
      <c r="D21">
        <v>65</v>
      </c>
      <c r="E21">
        <f t="shared" si="2"/>
        <v>1430</v>
      </c>
    </row>
    <row r="22" spans="1:5" ht="15" thickBot="1" x14ac:dyDescent="0.35">
      <c r="A22" s="21" t="s">
        <v>112</v>
      </c>
      <c r="B22" s="22">
        <v>163</v>
      </c>
    </row>
    <row r="25" spans="1:5" x14ac:dyDescent="0.3">
      <c r="A25" t="s">
        <v>160</v>
      </c>
      <c r="B25">
        <f>(E16+E17+E18+E19)*1000</f>
        <v>3725000</v>
      </c>
    </row>
    <row r="26" spans="1:5" x14ac:dyDescent="0.3">
      <c r="A26" t="s">
        <v>161</v>
      </c>
      <c r="B26">
        <f>31/163</f>
        <v>0.19018404907975461</v>
      </c>
    </row>
    <row r="27" spans="1:5" x14ac:dyDescent="0.3">
      <c r="A27" t="s">
        <v>162</v>
      </c>
      <c r="B27">
        <f>11/163</f>
        <v>6.7484662576687116E-2</v>
      </c>
    </row>
    <row r="31" spans="1:5" ht="15" thickBot="1" x14ac:dyDescent="0.35"/>
    <row r="32" spans="1:5" ht="20.399999999999999" x14ac:dyDescent="0.3">
      <c r="A32" s="51" t="s">
        <v>130</v>
      </c>
      <c r="B32" s="55" t="s">
        <v>131</v>
      </c>
      <c r="C32" s="55" t="s">
        <v>132</v>
      </c>
      <c r="D32" s="23" t="s">
        <v>133</v>
      </c>
    </row>
    <row r="33" spans="1:4" ht="21" thickBot="1" x14ac:dyDescent="0.35">
      <c r="A33" s="52"/>
      <c r="B33" s="56"/>
      <c r="C33" s="56"/>
      <c r="D33" s="24" t="s">
        <v>134</v>
      </c>
    </row>
    <row r="34" spans="1:4" ht="31.2" thickBot="1" x14ac:dyDescent="0.35">
      <c r="A34" s="25" t="s">
        <v>135</v>
      </c>
      <c r="B34" s="26">
        <v>100000</v>
      </c>
      <c r="C34" s="26">
        <v>125000</v>
      </c>
      <c r="D34" s="25">
        <v>125</v>
      </c>
    </row>
    <row r="35" spans="1:4" ht="41.4" thickBot="1" x14ac:dyDescent="0.35">
      <c r="A35" s="25" t="s">
        <v>136</v>
      </c>
      <c r="B35" s="25">
        <f>(B36*B37)/100</f>
        <v>200</v>
      </c>
      <c r="C35" s="25">
        <f>200*1.05</f>
        <v>210</v>
      </c>
      <c r="D35" s="27">
        <v>105</v>
      </c>
    </row>
    <row r="36" spans="1:4" ht="31.2" thickBot="1" x14ac:dyDescent="0.35">
      <c r="A36" s="25" t="s">
        <v>137</v>
      </c>
      <c r="B36" s="25">
        <f>(C36/D36)*100</f>
        <v>250</v>
      </c>
      <c r="C36" s="27">
        <v>250</v>
      </c>
      <c r="D36" s="27">
        <v>100</v>
      </c>
    </row>
    <row r="37" spans="1:4" ht="21" thickBot="1" x14ac:dyDescent="0.35">
      <c r="A37" s="25" t="s">
        <v>138</v>
      </c>
      <c r="B37" s="27">
        <v>80</v>
      </c>
      <c r="C37" s="25"/>
      <c r="D37" s="25"/>
    </row>
    <row r="38" spans="1:4" ht="51.6" thickBot="1" x14ac:dyDescent="0.35">
      <c r="A38" s="25" t="s">
        <v>139</v>
      </c>
      <c r="B38" s="25">
        <f>B34/B36</f>
        <v>400</v>
      </c>
      <c r="C38" s="25">
        <f>C34/C36</f>
        <v>500</v>
      </c>
      <c r="D38" s="25"/>
    </row>
    <row r="39" spans="1:4" ht="41.4" thickBot="1" x14ac:dyDescent="0.35">
      <c r="A39" s="25" t="s">
        <v>140</v>
      </c>
      <c r="B39" s="25">
        <f>B34/B35</f>
        <v>500</v>
      </c>
      <c r="C39" s="25"/>
      <c r="D39" s="25"/>
    </row>
  </sheetData>
  <mergeCells count="3">
    <mergeCell ref="A32:A33"/>
    <mergeCell ref="B32:B33"/>
    <mergeCell ref="C32:C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E090F-4A27-476F-B459-18D465F79800}">
  <dimension ref="A1:H33"/>
  <sheetViews>
    <sheetView workbookViewId="0">
      <selection activeCell="A24" sqref="A24"/>
    </sheetView>
  </sheetViews>
  <sheetFormatPr defaultRowHeight="14.4" x14ac:dyDescent="0.3"/>
  <cols>
    <col min="8" max="8" width="12.88671875" bestFit="1" customWidth="1"/>
  </cols>
  <sheetData>
    <row r="1" spans="1:8" ht="20.399999999999999" x14ac:dyDescent="0.3">
      <c r="A1" s="1" t="s">
        <v>8</v>
      </c>
      <c r="B1" s="2" t="s">
        <v>88</v>
      </c>
      <c r="C1" s="4" t="s">
        <v>89</v>
      </c>
      <c r="D1" s="3" t="s">
        <v>90</v>
      </c>
    </row>
    <row r="2" spans="1:8" ht="20.399999999999999" x14ac:dyDescent="0.3">
      <c r="A2" s="1"/>
      <c r="B2" s="3" t="s">
        <v>91</v>
      </c>
      <c r="C2" s="3" t="s">
        <v>92</v>
      </c>
      <c r="D2" s="3" t="s">
        <v>93</v>
      </c>
      <c r="E2" s="3" t="s">
        <v>5</v>
      </c>
      <c r="F2" s="3" t="s">
        <v>2</v>
      </c>
      <c r="G2" s="3" t="s">
        <v>3</v>
      </c>
      <c r="H2" s="3"/>
    </row>
    <row r="3" spans="1:8" x14ac:dyDescent="0.3">
      <c r="A3" s="1" t="s">
        <v>1</v>
      </c>
      <c r="B3" s="3">
        <v>160.1</v>
      </c>
      <c r="C3" s="3">
        <v>140.69999999999999</v>
      </c>
      <c r="D3" s="3">
        <v>110.9</v>
      </c>
      <c r="E3" s="3">
        <v>1.109</v>
      </c>
      <c r="F3">
        <f>C3/E3</f>
        <v>126.87105500450856</v>
      </c>
      <c r="G3">
        <f>B3*E3</f>
        <v>177.55089999999998</v>
      </c>
    </row>
    <row r="4" spans="1:8" ht="20.399999999999999" x14ac:dyDescent="0.3">
      <c r="A4" s="1" t="s">
        <v>94</v>
      </c>
      <c r="B4" s="3">
        <v>220.5</v>
      </c>
      <c r="C4" s="3">
        <v>243.8</v>
      </c>
      <c r="D4" s="3">
        <v>111.8</v>
      </c>
      <c r="E4" s="3">
        <v>1.1180000000000001</v>
      </c>
      <c r="F4">
        <f t="shared" ref="F4:F5" si="0">C4/E4</f>
        <v>218.06797853309479</v>
      </c>
      <c r="G4">
        <f t="shared" ref="G4:G5" si="1">B4*E4</f>
        <v>246.51900000000003</v>
      </c>
    </row>
    <row r="5" spans="1:8" x14ac:dyDescent="0.3">
      <c r="A5" s="1" t="s">
        <v>6</v>
      </c>
      <c r="B5" s="3">
        <v>130.6</v>
      </c>
      <c r="C5" s="3">
        <v>149.6</v>
      </c>
      <c r="D5" s="3">
        <v>109.9</v>
      </c>
      <c r="E5" s="3">
        <v>1.099</v>
      </c>
      <c r="F5">
        <f t="shared" si="0"/>
        <v>136.12374886260235</v>
      </c>
      <c r="G5">
        <f t="shared" si="1"/>
        <v>143.52939999999998</v>
      </c>
    </row>
    <row r="6" spans="1:8" x14ac:dyDescent="0.3">
      <c r="A6" s="1" t="s">
        <v>0</v>
      </c>
      <c r="B6" s="3">
        <v>511.2</v>
      </c>
      <c r="C6" s="3">
        <v>534.1</v>
      </c>
      <c r="D6" s="1"/>
      <c r="F6">
        <f>SUM(F3:F5)</f>
        <v>481.06278240020572</v>
      </c>
      <c r="G6">
        <f>SUM(G3:G5)</f>
        <v>567.59929999999997</v>
      </c>
    </row>
    <row r="10" spans="1:8" x14ac:dyDescent="0.3">
      <c r="A10">
        <f>F6-B6</f>
        <v>-30.137217599794269</v>
      </c>
    </row>
    <row r="11" spans="1:8" x14ac:dyDescent="0.3">
      <c r="A11">
        <f>C6-F6</f>
        <v>53.037217599794303</v>
      </c>
    </row>
    <row r="12" spans="1:8" x14ac:dyDescent="0.3">
      <c r="A12">
        <f>C6-B6</f>
        <v>22.900000000000034</v>
      </c>
    </row>
    <row r="13" spans="1:8" ht="15" thickBot="1" x14ac:dyDescent="0.35"/>
    <row r="14" spans="1:8" ht="31.2" thickBot="1" x14ac:dyDescent="0.35">
      <c r="A14" s="22" t="s">
        <v>105</v>
      </c>
      <c r="B14" s="22" t="s">
        <v>106</v>
      </c>
    </row>
    <row r="15" spans="1:8" ht="15" thickBot="1" x14ac:dyDescent="0.35">
      <c r="A15" s="22">
        <v>-20</v>
      </c>
      <c r="B15" s="22">
        <v>11</v>
      </c>
      <c r="C15">
        <v>15</v>
      </c>
      <c r="D15">
        <f>C15*B15</f>
        <v>165</v>
      </c>
    </row>
    <row r="16" spans="1:8" ht="15" thickBot="1" x14ac:dyDescent="0.35">
      <c r="A16" s="22" t="s">
        <v>107</v>
      </c>
      <c r="B16" s="22">
        <v>27</v>
      </c>
      <c r="C16">
        <v>25</v>
      </c>
      <c r="D16">
        <f t="shared" ref="D16:D20" si="2">C16*B16</f>
        <v>675</v>
      </c>
    </row>
    <row r="17" spans="1:4" ht="15" thickBot="1" x14ac:dyDescent="0.35">
      <c r="A17" s="22" t="s">
        <v>108</v>
      </c>
      <c r="B17" s="22">
        <v>31</v>
      </c>
      <c r="C17">
        <v>35</v>
      </c>
      <c r="D17">
        <f t="shared" si="2"/>
        <v>1085</v>
      </c>
    </row>
    <row r="18" spans="1:4" ht="15" thickBot="1" x14ac:dyDescent="0.35">
      <c r="A18" s="22" t="s">
        <v>109</v>
      </c>
      <c r="B18" s="22">
        <v>40</v>
      </c>
      <c r="C18">
        <v>45</v>
      </c>
      <c r="D18">
        <f t="shared" si="2"/>
        <v>1800</v>
      </c>
    </row>
    <row r="19" spans="1:4" ht="15" thickBot="1" x14ac:dyDescent="0.35">
      <c r="A19" s="22" t="s">
        <v>110</v>
      </c>
      <c r="B19" s="22">
        <v>32</v>
      </c>
      <c r="C19">
        <v>55</v>
      </c>
      <c r="D19">
        <f t="shared" si="2"/>
        <v>1760</v>
      </c>
    </row>
    <row r="20" spans="1:4" ht="15" thickBot="1" x14ac:dyDescent="0.35">
      <c r="A20" s="21" t="s">
        <v>111</v>
      </c>
      <c r="B20" s="22">
        <v>22</v>
      </c>
      <c r="C20">
        <v>65</v>
      </c>
      <c r="D20">
        <f t="shared" si="2"/>
        <v>1430</v>
      </c>
    </row>
    <row r="21" spans="1:4" ht="15" thickBot="1" x14ac:dyDescent="0.35">
      <c r="A21" s="21" t="s">
        <v>112</v>
      </c>
      <c r="B21" s="22">
        <v>163</v>
      </c>
    </row>
    <row r="23" spans="1:4" x14ac:dyDescent="0.3">
      <c r="A23">
        <f>1000*(D17+D18+D19+D20)</f>
        <v>6075000</v>
      </c>
    </row>
    <row r="24" spans="1:4" x14ac:dyDescent="0.3">
      <c r="A24">
        <f>69/163</f>
        <v>0.42331288343558282</v>
      </c>
    </row>
    <row r="25" spans="1:4" ht="15" thickBot="1" x14ac:dyDescent="0.35"/>
    <row r="26" spans="1:4" ht="20.399999999999999" x14ac:dyDescent="0.3">
      <c r="A26" s="51" t="s">
        <v>130</v>
      </c>
      <c r="B26" s="55" t="s">
        <v>131</v>
      </c>
      <c r="C26" s="55" t="s">
        <v>132</v>
      </c>
      <c r="D26" s="23" t="s">
        <v>133</v>
      </c>
    </row>
    <row r="27" spans="1:4" ht="21" thickBot="1" x14ac:dyDescent="0.35">
      <c r="A27" s="52"/>
      <c r="B27" s="56"/>
      <c r="C27" s="56"/>
      <c r="D27" s="24" t="s">
        <v>134</v>
      </c>
    </row>
    <row r="28" spans="1:4" ht="31.2" thickBot="1" x14ac:dyDescent="0.35">
      <c r="A28" s="25" t="s">
        <v>135</v>
      </c>
      <c r="B28" s="26">
        <v>100000</v>
      </c>
      <c r="C28" s="26">
        <v>125000</v>
      </c>
      <c r="D28" s="25"/>
    </row>
    <row r="29" spans="1:4" ht="41.4" thickBot="1" x14ac:dyDescent="0.35">
      <c r="A29" s="25" t="s">
        <v>136</v>
      </c>
      <c r="B29" s="25">
        <v>200</v>
      </c>
      <c r="C29" s="25">
        <f>200*1.05</f>
        <v>210</v>
      </c>
      <c r="D29" s="27">
        <v>105</v>
      </c>
    </row>
    <row r="30" spans="1:4" ht="31.2" thickBot="1" x14ac:dyDescent="0.35">
      <c r="A30" s="25" t="s">
        <v>137</v>
      </c>
      <c r="B30" s="25">
        <v>250</v>
      </c>
      <c r="C30" s="27">
        <v>250</v>
      </c>
      <c r="D30" s="27">
        <v>100</v>
      </c>
    </row>
    <row r="31" spans="1:4" ht="21" thickBot="1" x14ac:dyDescent="0.35">
      <c r="A31" s="25" t="s">
        <v>138</v>
      </c>
      <c r="B31" s="27">
        <v>80</v>
      </c>
      <c r="C31" s="25">
        <f>(C29/C30)*100</f>
        <v>84</v>
      </c>
      <c r="D31" s="25">
        <f>(C31/B31)*100</f>
        <v>105</v>
      </c>
    </row>
    <row r="32" spans="1:4" ht="51.6" thickBot="1" x14ac:dyDescent="0.35">
      <c r="A32" s="25" t="s">
        <v>139</v>
      </c>
      <c r="B32" s="25">
        <f>B28/B30</f>
        <v>400</v>
      </c>
      <c r="C32" s="25">
        <f>C28/C30</f>
        <v>500</v>
      </c>
      <c r="D32" s="25">
        <f>(C32/B32)*100</f>
        <v>125</v>
      </c>
    </row>
    <row r="33" spans="1:4" ht="41.4" thickBot="1" x14ac:dyDescent="0.35">
      <c r="A33" s="25" t="s">
        <v>140</v>
      </c>
      <c r="B33" s="25">
        <f>B28/B29</f>
        <v>500</v>
      </c>
      <c r="C33" s="25">
        <f>C28/C29</f>
        <v>595.23809523809518</v>
      </c>
      <c r="D33" s="25">
        <f>(C33/B33)*100</f>
        <v>119.04761904761905</v>
      </c>
    </row>
  </sheetData>
  <mergeCells count="3">
    <mergeCell ref="A26:A27"/>
    <mergeCell ref="B26:B27"/>
    <mergeCell ref="C26:C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E03B-B2B4-421F-B28E-093DC55188CC}">
  <dimension ref="A1:H41"/>
  <sheetViews>
    <sheetView workbookViewId="0">
      <selection activeCell="A25" sqref="A25"/>
    </sheetView>
  </sheetViews>
  <sheetFormatPr defaultRowHeight="14.4" x14ac:dyDescent="0.3"/>
  <cols>
    <col min="1" max="2" width="12.88671875" bestFit="1" customWidth="1"/>
    <col min="6" max="6" width="10.77734375" bestFit="1" customWidth="1"/>
  </cols>
  <sheetData>
    <row r="1" spans="1:8" x14ac:dyDescent="0.3">
      <c r="A1" s="1" t="s">
        <v>178</v>
      </c>
      <c r="B1" s="2" t="s">
        <v>179</v>
      </c>
      <c r="C1" s="1" t="s">
        <v>180</v>
      </c>
      <c r="D1" s="2" t="s">
        <v>181</v>
      </c>
      <c r="E1" s="1" t="s">
        <v>180</v>
      </c>
    </row>
    <row r="2" spans="1:8" x14ac:dyDescent="0.3">
      <c r="A2" s="50"/>
      <c r="B2" s="3" t="s">
        <v>182</v>
      </c>
      <c r="C2" s="3" t="s">
        <v>184</v>
      </c>
      <c r="D2" s="3" t="s">
        <v>182</v>
      </c>
      <c r="E2" s="3" t="s">
        <v>184</v>
      </c>
    </row>
    <row r="3" spans="1:8" ht="20.399999999999999" x14ac:dyDescent="0.3">
      <c r="A3" s="50"/>
      <c r="B3" s="3" t="s">
        <v>183</v>
      </c>
      <c r="C3" s="3" t="s">
        <v>185</v>
      </c>
      <c r="D3" s="3" t="s">
        <v>183</v>
      </c>
      <c r="E3" s="3" t="s">
        <v>185</v>
      </c>
      <c r="F3" s="3" t="s">
        <v>189</v>
      </c>
      <c r="G3" s="3"/>
    </row>
    <row r="4" spans="1:8" ht="20.399999999999999" x14ac:dyDescent="0.3">
      <c r="A4" s="1" t="s">
        <v>186</v>
      </c>
      <c r="B4" s="3">
        <v>22</v>
      </c>
      <c r="C4" s="3">
        <v>2360</v>
      </c>
      <c r="D4" s="3">
        <v>17</v>
      </c>
      <c r="E4" s="3">
        <v>2144</v>
      </c>
      <c r="F4">
        <f>C4/B4</f>
        <v>107.27272727272727</v>
      </c>
      <c r="H4">
        <f>D4*F4</f>
        <v>1823.6363636363635</v>
      </c>
    </row>
    <row r="5" spans="1:8" x14ac:dyDescent="0.3">
      <c r="A5" s="1" t="s">
        <v>187</v>
      </c>
      <c r="B5" s="3">
        <v>41</v>
      </c>
      <c r="C5" s="3">
        <v>3984</v>
      </c>
      <c r="D5" s="3">
        <v>40</v>
      </c>
      <c r="E5" s="3">
        <v>4578</v>
      </c>
      <c r="F5">
        <f t="shared" ref="F5:F6" si="0">C5/B5</f>
        <v>97.170731707317074</v>
      </c>
      <c r="H5">
        <f t="shared" ref="H5:H6" si="1">D5*F5</f>
        <v>3886.8292682926831</v>
      </c>
    </row>
    <row r="6" spans="1:8" x14ac:dyDescent="0.3">
      <c r="A6" s="1" t="s">
        <v>188</v>
      </c>
      <c r="B6" s="3">
        <v>50</v>
      </c>
      <c r="C6" s="3">
        <v>4100</v>
      </c>
      <c r="D6" s="3">
        <v>60</v>
      </c>
      <c r="E6" s="3">
        <v>5850</v>
      </c>
      <c r="F6">
        <f t="shared" si="0"/>
        <v>82</v>
      </c>
      <c r="H6">
        <f t="shared" si="1"/>
        <v>4920</v>
      </c>
    </row>
    <row r="7" spans="1:8" x14ac:dyDescent="0.3">
      <c r="A7" s="1" t="s">
        <v>0</v>
      </c>
      <c r="B7" s="3">
        <v>113</v>
      </c>
      <c r="C7" s="3">
        <v>10444</v>
      </c>
      <c r="D7" s="3">
        <v>117</v>
      </c>
      <c r="E7" s="3">
        <v>12572</v>
      </c>
      <c r="F7">
        <f>SUM(F4:F6)</f>
        <v>286.44345898004434</v>
      </c>
      <c r="H7">
        <f>SUM(H4:H6)</f>
        <v>10630.465631929046</v>
      </c>
    </row>
    <row r="11" spans="1:8" x14ac:dyDescent="0.3">
      <c r="A11" t="s">
        <v>191</v>
      </c>
      <c r="B11">
        <f>((E7/D7)/(C7/B7))*100</f>
        <v>116.2599390481428</v>
      </c>
    </row>
    <row r="12" spans="1:8" x14ac:dyDescent="0.3">
      <c r="A12" t="s">
        <v>193</v>
      </c>
      <c r="B12">
        <f>(E7/H7)*100</f>
        <v>118.26386947942784</v>
      </c>
    </row>
    <row r="13" spans="1:8" x14ac:dyDescent="0.3">
      <c r="A13" t="s">
        <v>194</v>
      </c>
      <c r="B13">
        <f>B11/B12</f>
        <v>0.98305542986115779</v>
      </c>
    </row>
    <row r="14" spans="1:8" ht="15" thickBot="1" x14ac:dyDescent="0.35"/>
    <row r="15" spans="1:8" ht="21" thickBot="1" x14ac:dyDescent="0.35">
      <c r="A15" s="22" t="s">
        <v>105</v>
      </c>
      <c r="B15" s="22" t="s">
        <v>106</v>
      </c>
    </row>
    <row r="16" spans="1:8" ht="15" thickBot="1" x14ac:dyDescent="0.35">
      <c r="A16" s="22">
        <v>-20</v>
      </c>
      <c r="B16" s="22">
        <v>11</v>
      </c>
      <c r="C16">
        <v>15</v>
      </c>
      <c r="D16">
        <f>C16*B16</f>
        <v>165</v>
      </c>
    </row>
    <row r="17" spans="1:4" ht="15" thickBot="1" x14ac:dyDescent="0.35">
      <c r="A17" s="22" t="s">
        <v>107</v>
      </c>
      <c r="B17" s="22">
        <v>27</v>
      </c>
      <c r="C17">
        <v>25</v>
      </c>
      <c r="D17">
        <f t="shared" ref="D17:D21" si="2">C17*B17</f>
        <v>675</v>
      </c>
    </row>
    <row r="18" spans="1:4" ht="15" thickBot="1" x14ac:dyDescent="0.35">
      <c r="A18" s="22" t="s">
        <v>108</v>
      </c>
      <c r="B18" s="22">
        <v>31</v>
      </c>
      <c r="C18">
        <v>35</v>
      </c>
      <c r="D18">
        <f t="shared" si="2"/>
        <v>1085</v>
      </c>
    </row>
    <row r="19" spans="1:4" ht="15" thickBot="1" x14ac:dyDescent="0.35">
      <c r="A19" s="22" t="s">
        <v>109</v>
      </c>
      <c r="B19" s="22">
        <v>40</v>
      </c>
      <c r="C19">
        <v>45</v>
      </c>
      <c r="D19">
        <f t="shared" si="2"/>
        <v>1800</v>
      </c>
    </row>
    <row r="20" spans="1:4" ht="15" thickBot="1" x14ac:dyDescent="0.35">
      <c r="A20" s="22" t="s">
        <v>110</v>
      </c>
      <c r="B20" s="22">
        <v>32</v>
      </c>
      <c r="C20">
        <v>55</v>
      </c>
      <c r="D20">
        <f t="shared" si="2"/>
        <v>1760</v>
      </c>
    </row>
    <row r="21" spans="1:4" ht="15" thickBot="1" x14ac:dyDescent="0.35">
      <c r="A21" s="49" t="s">
        <v>111</v>
      </c>
      <c r="B21" s="22">
        <v>22</v>
      </c>
      <c r="C21">
        <v>65</v>
      </c>
      <c r="D21">
        <f t="shared" si="2"/>
        <v>1430</v>
      </c>
    </row>
    <row r="22" spans="1:4" ht="15" thickBot="1" x14ac:dyDescent="0.35">
      <c r="A22" s="21" t="s">
        <v>112</v>
      </c>
      <c r="B22" s="22">
        <v>163</v>
      </c>
      <c r="D22">
        <f>SUM(D16:D21)</f>
        <v>6915</v>
      </c>
    </row>
    <row r="24" spans="1:4" x14ac:dyDescent="0.3">
      <c r="A24">
        <v>11</v>
      </c>
    </row>
    <row r="25" spans="1:4" x14ac:dyDescent="0.3">
      <c r="A25">
        <f>69/163*100</f>
        <v>42.331288343558285</v>
      </c>
    </row>
    <row r="30" spans="1:4" ht="15" thickBot="1" x14ac:dyDescent="0.35"/>
    <row r="31" spans="1:4" ht="21" thickBot="1" x14ac:dyDescent="0.35">
      <c r="A31" s="27" t="s">
        <v>195</v>
      </c>
      <c r="B31" s="27" t="s">
        <v>196</v>
      </c>
    </row>
    <row r="32" spans="1:4" ht="15" thickBot="1" x14ac:dyDescent="0.35">
      <c r="A32" s="27" t="s">
        <v>197</v>
      </c>
      <c r="B32" s="27">
        <v>14</v>
      </c>
      <c r="C32">
        <v>3500</v>
      </c>
      <c r="D32">
        <f>C32*B32</f>
        <v>49000</v>
      </c>
    </row>
    <row r="33" spans="1:4" ht="15" thickBot="1" x14ac:dyDescent="0.35">
      <c r="A33" s="27" t="s">
        <v>198</v>
      </c>
      <c r="B33" s="27">
        <v>37</v>
      </c>
      <c r="C33">
        <v>4500</v>
      </c>
      <c r="D33">
        <f t="shared" ref="D33:D37" si="3">C33*B33</f>
        <v>166500</v>
      </c>
    </row>
    <row r="34" spans="1:4" ht="15" thickBot="1" x14ac:dyDescent="0.35">
      <c r="A34" s="27" t="s">
        <v>199</v>
      </c>
      <c r="B34" s="27">
        <v>44</v>
      </c>
      <c r="C34">
        <v>5500</v>
      </c>
      <c r="D34">
        <f t="shared" si="3"/>
        <v>242000</v>
      </c>
    </row>
    <row r="35" spans="1:4" ht="15" thickBot="1" x14ac:dyDescent="0.35">
      <c r="A35" s="27" t="s">
        <v>200</v>
      </c>
      <c r="B35" s="27">
        <v>69</v>
      </c>
      <c r="C35">
        <v>6500</v>
      </c>
      <c r="D35">
        <f t="shared" si="3"/>
        <v>448500</v>
      </c>
    </row>
    <row r="36" spans="1:4" ht="15" thickBot="1" x14ac:dyDescent="0.35">
      <c r="A36" s="27" t="s">
        <v>201</v>
      </c>
      <c r="B36" s="27">
        <v>22</v>
      </c>
      <c r="C36">
        <v>7500</v>
      </c>
      <c r="D36">
        <f t="shared" si="3"/>
        <v>165000</v>
      </c>
    </row>
    <row r="37" spans="1:4" ht="15" thickBot="1" x14ac:dyDescent="0.35">
      <c r="A37" s="27" t="s">
        <v>202</v>
      </c>
      <c r="B37" s="27">
        <v>14</v>
      </c>
      <c r="C37">
        <v>8500</v>
      </c>
      <c r="D37">
        <f t="shared" si="3"/>
        <v>119000</v>
      </c>
    </row>
    <row r="38" spans="1:4" ht="15" thickBot="1" x14ac:dyDescent="0.35">
      <c r="A38" s="27" t="s">
        <v>0</v>
      </c>
      <c r="B38" s="27">
        <v>200</v>
      </c>
      <c r="D38">
        <f>SUM(D32:D37)</f>
        <v>1190000</v>
      </c>
    </row>
    <row r="41" spans="1:4" x14ac:dyDescent="0.3">
      <c r="A41" t="s">
        <v>203</v>
      </c>
      <c r="B41">
        <f>D38/200</f>
        <v>5950</v>
      </c>
    </row>
  </sheetData>
  <mergeCells count="1">
    <mergeCell ref="A2:A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889A-6E8A-4A5D-BEA4-C93B5B168356}">
  <dimension ref="A1:H35"/>
  <sheetViews>
    <sheetView workbookViewId="0">
      <selection activeCell="A24" sqref="A24"/>
    </sheetView>
  </sheetViews>
  <sheetFormatPr defaultRowHeight="14.4" x14ac:dyDescent="0.3"/>
  <sheetData>
    <row r="1" spans="1:8" x14ac:dyDescent="0.3">
      <c r="A1" s="1" t="s">
        <v>178</v>
      </c>
      <c r="B1" s="2" t="s">
        <v>179</v>
      </c>
      <c r="C1" s="1" t="s">
        <v>180</v>
      </c>
      <c r="D1" s="2" t="s">
        <v>181</v>
      </c>
      <c r="E1" s="1" t="s">
        <v>180</v>
      </c>
    </row>
    <row r="2" spans="1:8" x14ac:dyDescent="0.3">
      <c r="A2" s="50"/>
      <c r="B2" s="3" t="s">
        <v>182</v>
      </c>
      <c r="C2" s="3" t="s">
        <v>184</v>
      </c>
      <c r="D2" s="3" t="s">
        <v>182</v>
      </c>
      <c r="E2" s="3" t="s">
        <v>184</v>
      </c>
    </row>
    <row r="3" spans="1:8" ht="20.399999999999999" x14ac:dyDescent="0.3">
      <c r="A3" s="50"/>
      <c r="B3" s="3" t="s">
        <v>183</v>
      </c>
      <c r="C3" s="3" t="s">
        <v>185</v>
      </c>
      <c r="D3" s="3" t="s">
        <v>183</v>
      </c>
      <c r="E3" s="3" t="s">
        <v>185</v>
      </c>
      <c r="F3" s="3" t="s">
        <v>189</v>
      </c>
      <c r="G3" s="3" t="s">
        <v>204</v>
      </c>
    </row>
    <row r="4" spans="1:8" ht="20.399999999999999" x14ac:dyDescent="0.3">
      <c r="A4" s="1" t="s">
        <v>186</v>
      </c>
      <c r="B4" s="3">
        <v>22</v>
      </c>
      <c r="C4" s="3">
        <v>2360</v>
      </c>
      <c r="D4" s="3">
        <v>17</v>
      </c>
      <c r="E4" s="3">
        <v>2144</v>
      </c>
      <c r="F4">
        <f>C4/B4</f>
        <v>107.27272727272727</v>
      </c>
      <c r="G4">
        <f>E4/D4</f>
        <v>126.11764705882354</v>
      </c>
      <c r="H4">
        <f>F4*D4</f>
        <v>1823.6363636363635</v>
      </c>
    </row>
    <row r="5" spans="1:8" ht="20.399999999999999" x14ac:dyDescent="0.3">
      <c r="A5" s="1" t="s">
        <v>187</v>
      </c>
      <c r="B5" s="3">
        <v>41</v>
      </c>
      <c r="C5" s="3">
        <v>3984</v>
      </c>
      <c r="D5" s="3">
        <v>40</v>
      </c>
      <c r="E5" s="3">
        <v>4578</v>
      </c>
      <c r="F5">
        <f t="shared" ref="F5:F6" si="0">C5/B5</f>
        <v>97.170731707317074</v>
      </c>
      <c r="G5">
        <f t="shared" ref="G5:G6" si="1">E5/D5</f>
        <v>114.45</v>
      </c>
      <c r="H5">
        <f t="shared" ref="H5:H6" si="2">F5*D5</f>
        <v>3886.8292682926831</v>
      </c>
    </row>
    <row r="6" spans="1:8" ht="20.399999999999999" x14ac:dyDescent="0.3">
      <c r="A6" s="1" t="s">
        <v>188</v>
      </c>
      <c r="B6" s="3">
        <v>50</v>
      </c>
      <c r="C6" s="3">
        <v>4100</v>
      </c>
      <c r="D6" s="3">
        <v>60</v>
      </c>
      <c r="E6" s="3">
        <v>5850</v>
      </c>
      <c r="F6">
        <f t="shared" si="0"/>
        <v>82</v>
      </c>
      <c r="G6">
        <f t="shared" si="1"/>
        <v>97.5</v>
      </c>
      <c r="H6">
        <f t="shared" si="2"/>
        <v>4920</v>
      </c>
    </row>
    <row r="7" spans="1:8" x14ac:dyDescent="0.3">
      <c r="A7" s="1" t="s">
        <v>0</v>
      </c>
      <c r="B7" s="3">
        <v>113</v>
      </c>
      <c r="C7" s="3">
        <v>10444</v>
      </c>
      <c r="D7" s="3">
        <v>117</v>
      </c>
      <c r="E7" s="3">
        <v>12572</v>
      </c>
      <c r="F7">
        <f>SUM(F4:F6)</f>
        <v>286.44345898004434</v>
      </c>
      <c r="G7">
        <f>SUM(G4:G6)</f>
        <v>338.06764705882352</v>
      </c>
      <c r="H7">
        <f>SUM(H4:H6)</f>
        <v>10630.465631929046</v>
      </c>
    </row>
    <row r="10" spans="1:8" x14ac:dyDescent="0.3">
      <c r="A10">
        <f>((E7/D7)/(C7/B7))</f>
        <v>1.162599390481428</v>
      </c>
    </row>
    <row r="11" spans="1:8" x14ac:dyDescent="0.3">
      <c r="A11">
        <f>E7/H7</f>
        <v>1.1826386947942784</v>
      </c>
    </row>
    <row r="12" spans="1:8" x14ac:dyDescent="0.3">
      <c r="A12">
        <f>A10/A11</f>
        <v>0.98305542986115779</v>
      </c>
    </row>
    <row r="13" spans="1:8" ht="15" thickBot="1" x14ac:dyDescent="0.35"/>
    <row r="14" spans="1:8" ht="15" thickBot="1" x14ac:dyDescent="0.35">
      <c r="A14" s="21" t="s">
        <v>97</v>
      </c>
      <c r="B14" s="22" t="s">
        <v>128</v>
      </c>
      <c r="C14" s="22" t="s">
        <v>129</v>
      </c>
    </row>
    <row r="15" spans="1:8" ht="15" thickBot="1" x14ac:dyDescent="0.35">
      <c r="A15" s="21">
        <v>2016</v>
      </c>
      <c r="B15" s="22">
        <v>128591</v>
      </c>
      <c r="C15" s="29">
        <v>1</v>
      </c>
    </row>
    <row r="16" spans="1:8" ht="15" thickBot="1" x14ac:dyDescent="0.35">
      <c r="A16" s="21">
        <v>2017</v>
      </c>
      <c r="B16" s="21">
        <f>ROUND(B15*D16,0)</f>
        <v>124862</v>
      </c>
      <c r="C16" s="29">
        <v>0.97099999999999997</v>
      </c>
      <c r="D16">
        <v>0.97099999999999997</v>
      </c>
    </row>
    <row r="17" spans="1:4" ht="15" thickBot="1" x14ac:dyDescent="0.35">
      <c r="A17" s="21">
        <v>2018</v>
      </c>
      <c r="B17" s="21">
        <f>ROUND(B15*D17,0)</f>
        <v>121647</v>
      </c>
      <c r="C17" s="29">
        <v>0.94599999999999995</v>
      </c>
      <c r="D17">
        <v>0.94599999999999995</v>
      </c>
    </row>
    <row r="18" spans="1:4" ht="15" thickBot="1" x14ac:dyDescent="0.35">
      <c r="A18" s="21">
        <v>2019</v>
      </c>
      <c r="B18" s="21">
        <f>ROUND(B15*D18,0)</f>
        <v>120618</v>
      </c>
      <c r="C18" s="29">
        <v>0.93799999999999994</v>
      </c>
      <c r="D18">
        <v>0.93799999999999994</v>
      </c>
    </row>
    <row r="19" spans="1:4" ht="15" thickBot="1" x14ac:dyDescent="0.35">
      <c r="A19" s="21">
        <v>2020</v>
      </c>
      <c r="B19" s="21">
        <f>ROUND(B15*D19,0)</f>
        <v>115603</v>
      </c>
      <c r="C19" s="29">
        <v>0.89900000000000002</v>
      </c>
      <c r="D19">
        <v>0.89900000000000002</v>
      </c>
    </row>
    <row r="20" spans="1:4" ht="15" thickBot="1" x14ac:dyDescent="0.35">
      <c r="A20" s="21">
        <v>2021</v>
      </c>
      <c r="B20" s="22">
        <v>110650</v>
      </c>
      <c r="C20" s="21">
        <f>(B20/B15)*100</f>
        <v>86.048012691401425</v>
      </c>
    </row>
    <row r="22" spans="1:4" ht="15" thickBot="1" x14ac:dyDescent="0.35"/>
    <row r="23" spans="1:4" ht="15" thickBot="1" x14ac:dyDescent="0.35">
      <c r="A23" s="21">
        <f>124862</f>
        <v>124862</v>
      </c>
    </row>
    <row r="24" spans="1:4" x14ac:dyDescent="0.3">
      <c r="A24">
        <f>B18/B17</f>
        <v>0.99154109842412885</v>
      </c>
    </row>
    <row r="25" spans="1:4" x14ac:dyDescent="0.3">
      <c r="A25">
        <f>B16/B17</f>
        <v>1.0264289296077995</v>
      </c>
    </row>
    <row r="27" spans="1:4" ht="15" thickBot="1" x14ac:dyDescent="0.35"/>
    <row r="28" spans="1:4" ht="20.399999999999999" x14ac:dyDescent="0.3">
      <c r="A28" s="71" t="s">
        <v>130</v>
      </c>
      <c r="B28" s="73" t="s">
        <v>131</v>
      </c>
      <c r="C28" s="73" t="s">
        <v>132</v>
      </c>
      <c r="D28" s="66" t="s">
        <v>133</v>
      </c>
    </row>
    <row r="29" spans="1:4" ht="21" thickBot="1" x14ac:dyDescent="0.35">
      <c r="A29" s="72"/>
      <c r="B29" s="74"/>
      <c r="C29" s="74"/>
      <c r="D29" s="67" t="s">
        <v>134</v>
      </c>
    </row>
    <row r="30" spans="1:4" ht="31.2" thickBot="1" x14ac:dyDescent="0.35">
      <c r="A30" s="68" t="s">
        <v>135</v>
      </c>
      <c r="B30" s="69">
        <v>100000</v>
      </c>
      <c r="C30" s="69">
        <v>125000</v>
      </c>
      <c r="D30" s="68">
        <v>125</v>
      </c>
    </row>
    <row r="31" spans="1:4" ht="41.4" thickBot="1" x14ac:dyDescent="0.35">
      <c r="A31" s="68" t="s">
        <v>136</v>
      </c>
      <c r="B31" s="68">
        <v>200</v>
      </c>
      <c r="C31" s="68">
        <v>210</v>
      </c>
      <c r="D31" s="70">
        <v>105</v>
      </c>
    </row>
    <row r="32" spans="1:4" ht="31.2" thickBot="1" x14ac:dyDescent="0.35">
      <c r="A32" s="68" t="s">
        <v>137</v>
      </c>
      <c r="B32" s="68">
        <v>250</v>
      </c>
      <c r="C32" s="70">
        <v>250</v>
      </c>
      <c r="D32" s="70">
        <v>100</v>
      </c>
    </row>
    <row r="33" spans="1:4" ht="21" thickBot="1" x14ac:dyDescent="0.35">
      <c r="A33" s="68" t="s">
        <v>138</v>
      </c>
      <c r="B33" s="70">
        <v>80</v>
      </c>
      <c r="C33" s="68">
        <f>(C31/C32)*100</f>
        <v>84</v>
      </c>
      <c r="D33" s="68">
        <f>(C33/B33)*100</f>
        <v>105</v>
      </c>
    </row>
    <row r="34" spans="1:4" ht="51.6" thickBot="1" x14ac:dyDescent="0.35">
      <c r="A34" s="68" t="s">
        <v>139</v>
      </c>
      <c r="B34" s="68">
        <f>B30/B32</f>
        <v>400</v>
      </c>
      <c r="C34" s="68">
        <f>C30/C32</f>
        <v>500</v>
      </c>
      <c r="D34" s="68">
        <f>D30/D32</f>
        <v>1.25</v>
      </c>
    </row>
    <row r="35" spans="1:4" ht="41.4" thickBot="1" x14ac:dyDescent="0.35">
      <c r="A35" s="68" t="s">
        <v>140</v>
      </c>
      <c r="B35" s="68">
        <f>B30/B31</f>
        <v>500</v>
      </c>
      <c r="C35" s="68">
        <f>C30/C31</f>
        <v>595.23809523809518</v>
      </c>
      <c r="D35" s="68">
        <f>D30/D31</f>
        <v>1.1904761904761905</v>
      </c>
    </row>
  </sheetData>
  <mergeCells count="4">
    <mergeCell ref="A2:A3"/>
    <mergeCell ref="A28:A29"/>
    <mergeCell ref="B28:B29"/>
    <mergeCell ref="C28:C2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5DF0D-5860-45DA-937A-9B6B57E50438}">
  <dimension ref="A1:I44"/>
  <sheetViews>
    <sheetView workbookViewId="0">
      <selection activeCell="F3" sqref="F3"/>
    </sheetView>
  </sheetViews>
  <sheetFormatPr defaultRowHeight="14.4" x14ac:dyDescent="0.3"/>
  <sheetData>
    <row r="1" spans="1:8" ht="20.399999999999999" x14ac:dyDescent="0.3">
      <c r="A1" s="50" t="s">
        <v>62</v>
      </c>
      <c r="B1" s="3" t="s">
        <v>63</v>
      </c>
      <c r="C1" s="3" t="s">
        <v>63</v>
      </c>
      <c r="D1" s="3" t="s">
        <v>64</v>
      </c>
    </row>
    <row r="2" spans="1:8" ht="20.399999999999999" x14ac:dyDescent="0.3">
      <c r="A2" s="50"/>
      <c r="B2" s="3" t="s">
        <v>65</v>
      </c>
      <c r="C2" s="3" t="s">
        <v>66</v>
      </c>
      <c r="D2" s="3" t="s">
        <v>67</v>
      </c>
      <c r="E2" s="3" t="s">
        <v>5</v>
      </c>
      <c r="F2" s="3" t="s">
        <v>3</v>
      </c>
      <c r="G2" s="3" t="s">
        <v>2</v>
      </c>
      <c r="H2" s="3" t="s">
        <v>4</v>
      </c>
    </row>
    <row r="3" spans="1:8" x14ac:dyDescent="0.3">
      <c r="A3" s="1" t="s">
        <v>68</v>
      </c>
      <c r="B3" s="3">
        <v>15.6</v>
      </c>
      <c r="C3" s="3">
        <v>21.95</v>
      </c>
      <c r="D3" s="3">
        <v>115.07</v>
      </c>
      <c r="E3" s="3">
        <v>1.1507000000000001</v>
      </c>
      <c r="F3">
        <f>B3*E3</f>
        <v>17.95092</v>
      </c>
      <c r="G3">
        <f>C3/E3</f>
        <v>19.075345441904926</v>
      </c>
      <c r="H3">
        <f>(C3/B3)/E3</f>
        <v>1.2227785539682645</v>
      </c>
    </row>
    <row r="4" spans="1:8" x14ac:dyDescent="0.3">
      <c r="A4" s="1" t="s">
        <v>7</v>
      </c>
      <c r="B4" s="3">
        <v>25.33</v>
      </c>
      <c r="C4" s="3">
        <v>24.93</v>
      </c>
      <c r="D4" s="3">
        <v>84.35</v>
      </c>
      <c r="E4" s="3">
        <v>0.84350000000000003</v>
      </c>
      <c r="F4">
        <f>B4*E4</f>
        <v>21.365855</v>
      </c>
      <c r="G4">
        <f>C4/E4</f>
        <v>29.555423829282748</v>
      </c>
      <c r="H4">
        <f t="shared" ref="H4:H5" si="0">(C4/B4)/E4</f>
        <v>1.1668149952342184</v>
      </c>
    </row>
    <row r="5" spans="1:8" x14ac:dyDescent="0.3">
      <c r="A5" s="1" t="s">
        <v>69</v>
      </c>
      <c r="B5" s="3">
        <v>17.920000000000002</v>
      </c>
      <c r="C5" s="3">
        <v>17.22</v>
      </c>
      <c r="D5" s="3">
        <v>115.35</v>
      </c>
      <c r="E5" s="3">
        <v>1.1535</v>
      </c>
      <c r="F5">
        <f>B5*E5</f>
        <v>20.670720000000003</v>
      </c>
      <c r="G5">
        <f>C5/E5</f>
        <v>14.928478543563068</v>
      </c>
      <c r="H5">
        <f t="shared" si="0"/>
        <v>0.83306241872561759</v>
      </c>
    </row>
    <row r="6" spans="1:8" x14ac:dyDescent="0.3">
      <c r="B6">
        <f>SUM(B3:B5)</f>
        <v>58.85</v>
      </c>
      <c r="C6">
        <f t="shared" ref="C6:H6" si="1">SUM(C3:C5)</f>
        <v>64.099999999999994</v>
      </c>
      <c r="F6">
        <f>SUM(F3:F5)</f>
        <v>59.987495000000003</v>
      </c>
      <c r="G6">
        <f>SUM(G3:G5)</f>
        <v>63.559247814750741</v>
      </c>
    </row>
    <row r="8" spans="1:8" x14ac:dyDescent="0.3">
      <c r="A8">
        <f>F6</f>
        <v>59.987495000000003</v>
      </c>
    </row>
    <row r="9" spans="1:8" x14ac:dyDescent="0.3">
      <c r="A9">
        <v>1.1668000000000001</v>
      </c>
    </row>
    <row r="10" spans="1:8" x14ac:dyDescent="0.3">
      <c r="A10">
        <f>C6-G6</f>
        <v>0.54075218524925361</v>
      </c>
    </row>
    <row r="11" spans="1:8" x14ac:dyDescent="0.3">
      <c r="A11">
        <f>(B5-C5)*1000</f>
        <v>700.00000000000284</v>
      </c>
    </row>
    <row r="13" spans="1:8" ht="15" thickBot="1" x14ac:dyDescent="0.35"/>
    <row r="14" spans="1:8" ht="31.2" thickBot="1" x14ac:dyDescent="0.35">
      <c r="A14" s="22" t="s">
        <v>105</v>
      </c>
      <c r="B14" s="22" t="s">
        <v>106</v>
      </c>
    </row>
    <row r="15" spans="1:8" ht="15" thickBot="1" x14ac:dyDescent="0.35">
      <c r="A15" s="22">
        <v>-20</v>
      </c>
      <c r="B15" s="22">
        <v>11</v>
      </c>
      <c r="C15">
        <v>15</v>
      </c>
      <c r="D15">
        <f>C15*B15</f>
        <v>165</v>
      </c>
    </row>
    <row r="16" spans="1:8" ht="15" thickBot="1" x14ac:dyDescent="0.35">
      <c r="A16" s="22" t="s">
        <v>107</v>
      </c>
      <c r="B16" s="22">
        <v>27</v>
      </c>
      <c r="C16">
        <v>25</v>
      </c>
      <c r="D16">
        <f t="shared" ref="D16:D20" si="2">C16*B16</f>
        <v>675</v>
      </c>
    </row>
    <row r="17" spans="1:9" ht="15" thickBot="1" x14ac:dyDescent="0.35">
      <c r="A17" s="22" t="s">
        <v>108</v>
      </c>
      <c r="B17" s="22">
        <v>31</v>
      </c>
      <c r="C17">
        <v>35</v>
      </c>
      <c r="D17">
        <f t="shared" si="2"/>
        <v>1085</v>
      </c>
    </row>
    <row r="18" spans="1:9" ht="15" thickBot="1" x14ac:dyDescent="0.35">
      <c r="A18" s="22" t="s">
        <v>109</v>
      </c>
      <c r="B18" s="22">
        <v>40</v>
      </c>
      <c r="C18">
        <v>45</v>
      </c>
      <c r="D18">
        <f t="shared" si="2"/>
        <v>1800</v>
      </c>
    </row>
    <row r="19" spans="1:9" ht="15" thickBot="1" x14ac:dyDescent="0.35">
      <c r="A19" s="22" t="s">
        <v>110</v>
      </c>
      <c r="B19" s="22">
        <v>32</v>
      </c>
      <c r="C19">
        <v>55</v>
      </c>
      <c r="D19">
        <f t="shared" si="2"/>
        <v>1760</v>
      </c>
    </row>
    <row r="20" spans="1:9" ht="15" thickBot="1" x14ac:dyDescent="0.35">
      <c r="A20" s="21" t="s">
        <v>111</v>
      </c>
      <c r="B20" s="22">
        <v>22</v>
      </c>
      <c r="C20">
        <v>65</v>
      </c>
      <c r="D20">
        <f t="shared" si="2"/>
        <v>1430</v>
      </c>
    </row>
    <row r="21" spans="1:9" ht="15" thickBot="1" x14ac:dyDescent="0.35">
      <c r="A21" s="21" t="s">
        <v>112</v>
      </c>
      <c r="B21" s="22">
        <v>163</v>
      </c>
    </row>
    <row r="24" spans="1:9" x14ac:dyDescent="0.3">
      <c r="A24">
        <f>SUM(D17:D20)*1000</f>
        <v>6075000</v>
      </c>
    </row>
    <row r="25" spans="1:9" x14ac:dyDescent="0.3">
      <c r="A25">
        <f>69/163</f>
        <v>0.42331288343558282</v>
      </c>
    </row>
    <row r="27" spans="1:9" ht="15" thickBot="1" x14ac:dyDescent="0.35"/>
    <row r="28" spans="1:9" ht="21" thickBot="1" x14ac:dyDescent="0.35">
      <c r="A28" s="70" t="s">
        <v>207</v>
      </c>
      <c r="B28" s="70" t="s">
        <v>208</v>
      </c>
    </row>
    <row r="29" spans="1:9" ht="15" thickBot="1" x14ac:dyDescent="0.35">
      <c r="A29" s="70">
        <v>-150</v>
      </c>
      <c r="B29" s="70">
        <v>5</v>
      </c>
      <c r="C29">
        <v>135</v>
      </c>
      <c r="D29">
        <f>C29*B29</f>
        <v>675</v>
      </c>
      <c r="F29">
        <v>45</v>
      </c>
      <c r="H29" s="11">
        <v>210</v>
      </c>
    </row>
    <row r="30" spans="1:9" ht="15" thickBot="1" x14ac:dyDescent="0.35">
      <c r="A30" s="70" t="s">
        <v>163</v>
      </c>
      <c r="B30" s="70">
        <v>16</v>
      </c>
      <c r="C30">
        <v>165</v>
      </c>
      <c r="D30">
        <f t="shared" ref="D30:D37" si="3">C30*B30</f>
        <v>2640</v>
      </c>
      <c r="F30">
        <v>90</v>
      </c>
      <c r="G30">
        <v>77</v>
      </c>
      <c r="H30">
        <v>115</v>
      </c>
      <c r="I30" s="11">
        <f>30*(13/38)+240</f>
        <v>250.26315789473685</v>
      </c>
    </row>
    <row r="31" spans="1:9" ht="15" thickBot="1" x14ac:dyDescent="0.35">
      <c r="A31" s="70" t="s">
        <v>164</v>
      </c>
      <c r="B31" s="70">
        <v>24</v>
      </c>
      <c r="C31">
        <v>195</v>
      </c>
      <c r="D31">
        <f t="shared" si="3"/>
        <v>4680</v>
      </c>
      <c r="F31">
        <v>45</v>
      </c>
      <c r="G31">
        <v>115</v>
      </c>
      <c r="H31">
        <v>26</v>
      </c>
      <c r="I31">
        <f>30*(20/26)+270</f>
        <v>293.07692307692309</v>
      </c>
    </row>
    <row r="32" spans="1:9" ht="15" thickBot="1" x14ac:dyDescent="0.35">
      <c r="A32" s="70" t="s">
        <v>165</v>
      </c>
      <c r="B32" s="70">
        <v>32</v>
      </c>
      <c r="C32">
        <v>225</v>
      </c>
      <c r="D32">
        <f t="shared" si="3"/>
        <v>7200</v>
      </c>
      <c r="H32">
        <v>141</v>
      </c>
    </row>
    <row r="33" spans="1:7" ht="15" thickBot="1" x14ac:dyDescent="0.35">
      <c r="A33" s="70" t="s">
        <v>166</v>
      </c>
      <c r="B33" s="70">
        <v>38</v>
      </c>
      <c r="C33">
        <v>255</v>
      </c>
      <c r="D33">
        <f t="shared" si="3"/>
        <v>9690</v>
      </c>
    </row>
    <row r="34" spans="1:7" ht="15" thickBot="1" x14ac:dyDescent="0.35">
      <c r="A34" s="70" t="s">
        <v>167</v>
      </c>
      <c r="B34" s="70">
        <v>26</v>
      </c>
      <c r="C34">
        <v>285</v>
      </c>
      <c r="D34">
        <f t="shared" si="3"/>
        <v>7410</v>
      </c>
    </row>
    <row r="35" spans="1:7" ht="15" thickBot="1" x14ac:dyDescent="0.35">
      <c r="A35" s="70" t="s">
        <v>168</v>
      </c>
      <c r="B35" s="70">
        <v>18</v>
      </c>
      <c r="C35">
        <v>315</v>
      </c>
      <c r="D35">
        <f t="shared" si="3"/>
        <v>5670</v>
      </c>
    </row>
    <row r="36" spans="1:7" ht="15" thickBot="1" x14ac:dyDescent="0.35">
      <c r="A36" s="70" t="s">
        <v>169</v>
      </c>
      <c r="B36" s="70">
        <v>13</v>
      </c>
      <c r="C36">
        <v>345</v>
      </c>
      <c r="D36">
        <f t="shared" si="3"/>
        <v>4485</v>
      </c>
    </row>
    <row r="37" spans="1:7" ht="15" thickBot="1" x14ac:dyDescent="0.35">
      <c r="A37" s="76" t="s">
        <v>170</v>
      </c>
      <c r="B37" s="70">
        <v>8</v>
      </c>
      <c r="C37">
        <v>375</v>
      </c>
      <c r="D37">
        <f t="shared" si="3"/>
        <v>3000</v>
      </c>
    </row>
    <row r="38" spans="1:7" ht="15" thickBot="1" x14ac:dyDescent="0.35">
      <c r="A38" s="70" t="s">
        <v>0</v>
      </c>
      <c r="B38" s="70">
        <v>180</v>
      </c>
      <c r="D38">
        <f>SUM(D29:D37)</f>
        <v>45450</v>
      </c>
    </row>
    <row r="41" spans="1:7" x14ac:dyDescent="0.3">
      <c r="A41">
        <f>SUM(D29:D37)/180</f>
        <v>252.5</v>
      </c>
    </row>
    <row r="42" spans="1:7" x14ac:dyDescent="0.3">
      <c r="A42">
        <f>I31-I30</f>
        <v>42.813765182186245</v>
      </c>
    </row>
    <row r="43" spans="1:7" x14ac:dyDescent="0.3">
      <c r="A43" t="s">
        <v>209</v>
      </c>
      <c r="B43" t="s">
        <v>210</v>
      </c>
      <c r="C43" t="s">
        <v>211</v>
      </c>
      <c r="D43" t="s">
        <v>212</v>
      </c>
      <c r="F43" t="s">
        <v>213</v>
      </c>
      <c r="G43" t="s">
        <v>214</v>
      </c>
    </row>
    <row r="44" spans="1:7" x14ac:dyDescent="0.3">
      <c r="B44">
        <f>I30-H29</f>
        <v>40.26315789473685</v>
      </c>
      <c r="D44">
        <f>I31-I30</f>
        <v>42.813765182186245</v>
      </c>
      <c r="F44" t="s">
        <v>209</v>
      </c>
      <c r="G44">
        <f>(D44-B44)/(I31-H29)</f>
        <v>3.0701754385964935E-2</v>
      </c>
    </row>
  </sheetData>
  <mergeCells count="1">
    <mergeCell ref="A1:A2"/>
  </mergeCells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5159E-4672-4B68-BFB5-842EF4C93891}">
  <dimension ref="A1:G25"/>
  <sheetViews>
    <sheetView workbookViewId="0">
      <selection activeCell="A26" sqref="A26"/>
    </sheetView>
  </sheetViews>
  <sheetFormatPr defaultRowHeight="14.4" x14ac:dyDescent="0.3"/>
  <sheetData>
    <row r="1" spans="1:7" ht="20.399999999999999" x14ac:dyDescent="0.3">
      <c r="A1" s="1" t="s">
        <v>150</v>
      </c>
      <c r="B1" s="3" t="s">
        <v>151</v>
      </c>
      <c r="C1" s="3" t="s">
        <v>151</v>
      </c>
      <c r="D1" s="3" t="s">
        <v>150</v>
      </c>
      <c r="E1" s="3" t="s">
        <v>150</v>
      </c>
    </row>
    <row r="2" spans="1:7" ht="20.399999999999999" x14ac:dyDescent="0.3">
      <c r="A2" s="1" t="s">
        <v>152</v>
      </c>
      <c r="B2" s="3" t="s">
        <v>153</v>
      </c>
      <c r="C2" s="3" t="s">
        <v>153</v>
      </c>
      <c r="D2" s="3" t="s">
        <v>154</v>
      </c>
      <c r="E2" s="3" t="s">
        <v>154</v>
      </c>
    </row>
    <row r="3" spans="1:7" x14ac:dyDescent="0.3">
      <c r="A3" s="1"/>
      <c r="B3" s="3">
        <v>2020</v>
      </c>
      <c r="C3" s="3">
        <v>2021</v>
      </c>
      <c r="D3" s="3">
        <v>2020</v>
      </c>
      <c r="E3" s="3">
        <v>2021</v>
      </c>
      <c r="F3" s="3">
        <v>2020</v>
      </c>
      <c r="G3" s="3">
        <v>2021</v>
      </c>
    </row>
    <row r="4" spans="1:7" x14ac:dyDescent="0.3">
      <c r="A4" s="1" t="s">
        <v>155</v>
      </c>
      <c r="B4" s="3">
        <v>10</v>
      </c>
      <c r="C4" s="3">
        <v>5</v>
      </c>
      <c r="D4" s="3">
        <v>40</v>
      </c>
      <c r="E4" s="3">
        <v>50</v>
      </c>
      <c r="F4">
        <f>D4/B4</f>
        <v>4</v>
      </c>
      <c r="G4">
        <f>E4/C4</f>
        <v>10</v>
      </c>
    </row>
    <row r="5" spans="1:7" x14ac:dyDescent="0.3">
      <c r="A5" s="1" t="s">
        <v>156</v>
      </c>
      <c r="B5" s="3">
        <v>10</v>
      </c>
      <c r="C5" s="3">
        <v>8</v>
      </c>
      <c r="D5" s="3">
        <v>20</v>
      </c>
      <c r="E5" s="3">
        <v>25</v>
      </c>
      <c r="F5">
        <f t="shared" ref="F5:F6" si="0">D5/B5</f>
        <v>2</v>
      </c>
      <c r="G5">
        <f t="shared" ref="G5:G6" si="1">E5/C5</f>
        <v>3.125</v>
      </c>
    </row>
    <row r="6" spans="1:7" x14ac:dyDescent="0.3">
      <c r="A6" s="1" t="s">
        <v>157</v>
      </c>
      <c r="B6" s="3">
        <v>8</v>
      </c>
      <c r="C6" s="3">
        <v>12</v>
      </c>
      <c r="D6" s="3">
        <v>40</v>
      </c>
      <c r="E6" s="3">
        <v>25</v>
      </c>
      <c r="F6">
        <f t="shared" si="0"/>
        <v>5</v>
      </c>
      <c r="G6">
        <f t="shared" si="1"/>
        <v>2.0833333333333335</v>
      </c>
    </row>
    <row r="7" spans="1:7" x14ac:dyDescent="0.3">
      <c r="A7" s="1" t="s">
        <v>0</v>
      </c>
      <c r="B7" s="3" t="s">
        <v>158</v>
      </c>
      <c r="C7" s="3" t="s">
        <v>158</v>
      </c>
      <c r="D7" s="3">
        <v>100</v>
      </c>
      <c r="E7" s="3">
        <v>100</v>
      </c>
      <c r="F7">
        <f>SUM(F4:F6)</f>
        <v>11</v>
      </c>
      <c r="G7">
        <f>SUM(G4:G6)</f>
        <v>15.208333333333334</v>
      </c>
    </row>
    <row r="10" spans="1:7" x14ac:dyDescent="0.3">
      <c r="A10" s="1" t="s">
        <v>217</v>
      </c>
      <c r="B10">
        <f>100/F7</f>
        <v>9.0909090909090917</v>
      </c>
    </row>
    <row r="11" spans="1:7" x14ac:dyDescent="0.3">
      <c r="A11" s="1" t="s">
        <v>218</v>
      </c>
      <c r="B11">
        <f>100/G7</f>
        <v>6.5753424657534243</v>
      </c>
    </row>
    <row r="12" spans="1:7" x14ac:dyDescent="0.3">
      <c r="A12" s="1" t="s">
        <v>219</v>
      </c>
      <c r="B12">
        <f>B11/B10</f>
        <v>0.72328767123287663</v>
      </c>
      <c r="C12">
        <f>1-(B11/B10)</f>
        <v>0.27671232876712337</v>
      </c>
    </row>
    <row r="13" spans="1:7" x14ac:dyDescent="0.3">
      <c r="A13" s="1" t="s">
        <v>220</v>
      </c>
      <c r="B13">
        <f>SUMPRODUCT(G4:G6,B4:B6)/G7</f>
        <v>9.7260273972602729</v>
      </c>
      <c r="C13">
        <f>(B11/B13)</f>
        <v>0.676056338028169</v>
      </c>
    </row>
    <row r="14" spans="1:7" x14ac:dyDescent="0.3">
      <c r="A14" s="1" t="s">
        <v>51</v>
      </c>
      <c r="B14">
        <f>B12/C13</f>
        <v>1.06986301369863</v>
      </c>
    </row>
    <row r="16" spans="1:7" ht="15" thickBot="1" x14ac:dyDescent="0.35"/>
    <row r="17" spans="1:4" ht="15" thickBot="1" x14ac:dyDescent="0.35">
      <c r="A17" s="21" t="s">
        <v>97</v>
      </c>
      <c r="B17" s="22" t="s">
        <v>128</v>
      </c>
      <c r="C17" s="22" t="s">
        <v>129</v>
      </c>
    </row>
    <row r="18" spans="1:4" ht="15" thickBot="1" x14ac:dyDescent="0.35">
      <c r="A18" s="21">
        <v>2016</v>
      </c>
      <c r="B18" s="22">
        <v>128591</v>
      </c>
      <c r="C18" s="29">
        <v>1</v>
      </c>
    </row>
    <row r="19" spans="1:4" ht="15" thickBot="1" x14ac:dyDescent="0.35">
      <c r="A19" s="21">
        <v>2017</v>
      </c>
      <c r="B19" s="21">
        <f>ROUND(B18*D19,0)</f>
        <v>124862</v>
      </c>
      <c r="C19" s="29">
        <v>0.97099999999999997</v>
      </c>
      <c r="D19">
        <v>0.97099999999999997</v>
      </c>
    </row>
    <row r="20" spans="1:4" ht="15" thickBot="1" x14ac:dyDescent="0.35">
      <c r="A20" s="21">
        <v>2018</v>
      </c>
      <c r="B20" s="21">
        <f>ROUND(B18*D20,0)</f>
        <v>121647</v>
      </c>
      <c r="C20" s="29">
        <v>0.94599999999999995</v>
      </c>
      <c r="D20">
        <v>0.94599999999999995</v>
      </c>
    </row>
    <row r="21" spans="1:4" ht="15" thickBot="1" x14ac:dyDescent="0.35">
      <c r="A21" s="21">
        <v>2019</v>
      </c>
      <c r="B21" s="21">
        <f>ROUND(B18*D21,0)</f>
        <v>120618</v>
      </c>
      <c r="C21" s="29">
        <v>0.93799999999999994</v>
      </c>
      <c r="D21">
        <v>0.93799999999999994</v>
      </c>
    </row>
    <row r="22" spans="1:4" ht="15" thickBot="1" x14ac:dyDescent="0.35">
      <c r="A22" s="21">
        <v>2020</v>
      </c>
      <c r="B22" s="21">
        <f>ROUND(B18*D22,0)</f>
        <v>115603</v>
      </c>
      <c r="C22" s="29">
        <v>0.89900000000000002</v>
      </c>
      <c r="D22">
        <v>0.89900000000000002</v>
      </c>
    </row>
    <row r="23" spans="1:4" ht="15" thickBot="1" x14ac:dyDescent="0.35">
      <c r="A23" s="21">
        <v>2021</v>
      </c>
      <c r="B23" s="22">
        <v>110650</v>
      </c>
      <c r="C23" s="21">
        <f>B23/B18</f>
        <v>0.86048012691401421</v>
      </c>
    </row>
    <row r="25" spans="1:4" x14ac:dyDescent="0.3">
      <c r="A25">
        <f>1-(B23/B22)</f>
        <v>4.2844908869147047E-2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5AC9-04EB-4EEF-AD8E-4F29920D714A}">
  <dimension ref="A1:I42"/>
  <sheetViews>
    <sheetView workbookViewId="0">
      <selection activeCell="A10" sqref="A10"/>
    </sheetView>
  </sheetViews>
  <sheetFormatPr defaultRowHeight="14.4" x14ac:dyDescent="0.3"/>
  <cols>
    <col min="5" max="5" width="10.77734375" bestFit="1" customWidth="1"/>
  </cols>
  <sheetData>
    <row r="1" spans="1:7" ht="20.399999999999999" x14ac:dyDescent="0.3">
      <c r="A1" s="1" t="s">
        <v>8</v>
      </c>
      <c r="B1" s="3" t="s">
        <v>9</v>
      </c>
      <c r="C1" s="3" t="s">
        <v>10</v>
      </c>
      <c r="D1" s="3" t="s">
        <v>11</v>
      </c>
    </row>
    <row r="2" spans="1:7" ht="30.6" x14ac:dyDescent="0.3">
      <c r="A2" s="1"/>
      <c r="B2" s="3" t="s">
        <v>12</v>
      </c>
      <c r="C2" s="2" t="s">
        <v>13</v>
      </c>
      <c r="D2" s="4" t="s">
        <v>14</v>
      </c>
      <c r="E2" t="s">
        <v>3</v>
      </c>
      <c r="F2" t="s">
        <v>2</v>
      </c>
      <c r="G2" t="s">
        <v>221</v>
      </c>
    </row>
    <row r="3" spans="1:7" x14ac:dyDescent="0.3">
      <c r="A3" s="1" t="s">
        <v>15</v>
      </c>
      <c r="B3" s="3">
        <v>550</v>
      </c>
      <c r="C3" s="3">
        <v>110</v>
      </c>
      <c r="D3" s="3">
        <v>102</v>
      </c>
      <c r="E3">
        <f>B3*1.1</f>
        <v>605</v>
      </c>
      <c r="F3">
        <f>B3*1.02</f>
        <v>561</v>
      </c>
      <c r="G3">
        <f>B3*1.1*1.02</f>
        <v>617.1</v>
      </c>
    </row>
    <row r="4" spans="1:7" x14ac:dyDescent="0.3">
      <c r="A4" s="1" t="s">
        <v>16</v>
      </c>
      <c r="B4" s="3">
        <v>400</v>
      </c>
      <c r="C4" s="3">
        <v>120</v>
      </c>
      <c r="D4" s="3">
        <v>95</v>
      </c>
      <c r="E4">
        <f>B4*1.2</f>
        <v>480</v>
      </c>
      <c r="F4">
        <f>B4*0.95</f>
        <v>380</v>
      </c>
      <c r="G4">
        <f>B4*1.2*0.95</f>
        <v>456</v>
      </c>
    </row>
    <row r="5" spans="1:7" x14ac:dyDescent="0.3">
      <c r="A5" s="1" t="s">
        <v>17</v>
      </c>
      <c r="B5" s="3">
        <v>750</v>
      </c>
      <c r="C5" s="3">
        <v>102</v>
      </c>
      <c r="D5" s="3">
        <v>110</v>
      </c>
      <c r="E5">
        <f>B5*1.02</f>
        <v>765</v>
      </c>
      <c r="F5">
        <f>B5*1.1</f>
        <v>825.00000000000011</v>
      </c>
      <c r="G5">
        <f t="shared" ref="G4:G5" si="0">B5*1.1*1.02</f>
        <v>841.50000000000011</v>
      </c>
    </row>
    <row r="6" spans="1:7" x14ac:dyDescent="0.3">
      <c r="A6" s="1" t="s">
        <v>0</v>
      </c>
      <c r="B6" s="3">
        <v>1700</v>
      </c>
      <c r="C6" s="1"/>
      <c r="D6" s="1"/>
      <c r="E6">
        <f>SUM(E3:E5)</f>
        <v>1850</v>
      </c>
      <c r="F6">
        <f t="shared" ref="F6:G6" si="1">SUM(F3:F5)</f>
        <v>1766</v>
      </c>
      <c r="G6">
        <f t="shared" si="1"/>
        <v>1914.6</v>
      </c>
    </row>
    <row r="9" spans="1:7" x14ac:dyDescent="0.3">
      <c r="A9">
        <f>G6-B6</f>
        <v>214.59999999999991</v>
      </c>
    </row>
    <row r="10" spans="1:7" x14ac:dyDescent="0.3">
      <c r="A10">
        <f>E6-B6</f>
        <v>150</v>
      </c>
    </row>
    <row r="11" spans="1:7" x14ac:dyDescent="0.3">
      <c r="A11">
        <v>456</v>
      </c>
    </row>
    <row r="13" spans="1:7" ht="15" thickBot="1" x14ac:dyDescent="0.35"/>
    <row r="14" spans="1:7" ht="31.2" thickBot="1" x14ac:dyDescent="0.35">
      <c r="A14" s="21" t="s">
        <v>222</v>
      </c>
      <c r="B14" s="22" t="s">
        <v>106</v>
      </c>
    </row>
    <row r="15" spans="1:7" ht="15" thickBot="1" x14ac:dyDescent="0.35">
      <c r="A15" s="22">
        <v>-20</v>
      </c>
      <c r="B15" s="22">
        <v>11</v>
      </c>
      <c r="C15">
        <v>15</v>
      </c>
      <c r="D15">
        <f>B15*C15</f>
        <v>165</v>
      </c>
    </row>
    <row r="16" spans="1:7" ht="15" thickBot="1" x14ac:dyDescent="0.35">
      <c r="A16" s="22" t="s">
        <v>107</v>
      </c>
      <c r="B16" s="22">
        <v>27</v>
      </c>
      <c r="C16">
        <v>25</v>
      </c>
      <c r="D16">
        <f t="shared" ref="D16:D20" si="2">B16*C16</f>
        <v>675</v>
      </c>
    </row>
    <row r="17" spans="1:9" ht="15" thickBot="1" x14ac:dyDescent="0.35">
      <c r="A17" s="22" t="s">
        <v>108</v>
      </c>
      <c r="B17" s="22">
        <v>31</v>
      </c>
      <c r="C17">
        <v>35</v>
      </c>
      <c r="D17">
        <f t="shared" si="2"/>
        <v>1085</v>
      </c>
    </row>
    <row r="18" spans="1:9" ht="15" thickBot="1" x14ac:dyDescent="0.35">
      <c r="A18" s="22" t="s">
        <v>109</v>
      </c>
      <c r="B18" s="22">
        <v>40</v>
      </c>
      <c r="C18">
        <v>45</v>
      </c>
      <c r="D18">
        <f t="shared" si="2"/>
        <v>1800</v>
      </c>
    </row>
    <row r="19" spans="1:9" ht="15" thickBot="1" x14ac:dyDescent="0.35">
      <c r="A19" s="22" t="s">
        <v>110</v>
      </c>
      <c r="B19" s="22">
        <v>32</v>
      </c>
      <c r="C19">
        <v>55</v>
      </c>
      <c r="D19">
        <f t="shared" si="2"/>
        <v>1760</v>
      </c>
    </row>
    <row r="20" spans="1:9" ht="15" thickBot="1" x14ac:dyDescent="0.35">
      <c r="A20" s="21" t="s">
        <v>111</v>
      </c>
      <c r="B20" s="22">
        <v>22</v>
      </c>
      <c r="C20">
        <v>65</v>
      </c>
      <c r="D20">
        <f t="shared" si="2"/>
        <v>1430</v>
      </c>
    </row>
    <row r="21" spans="1:9" ht="15" thickBot="1" x14ac:dyDescent="0.35">
      <c r="A21" s="21" t="s">
        <v>112</v>
      </c>
      <c r="B21" s="22">
        <v>163</v>
      </c>
      <c r="D21">
        <f>SUM(D15:D20)</f>
        <v>6915</v>
      </c>
    </row>
    <row r="24" spans="1:9" x14ac:dyDescent="0.3">
      <c r="A24">
        <f>SUM(D15:D18)</f>
        <v>3725</v>
      </c>
    </row>
    <row r="25" spans="1:9" x14ac:dyDescent="0.3">
      <c r="A25">
        <f>31/163</f>
        <v>0.19018404907975461</v>
      </c>
    </row>
    <row r="26" spans="1:9" ht="15" thickBot="1" x14ac:dyDescent="0.35"/>
    <row r="27" spans="1:9" ht="21" thickBot="1" x14ac:dyDescent="0.35">
      <c r="A27" s="70" t="s">
        <v>207</v>
      </c>
      <c r="B27" s="70" t="s">
        <v>208</v>
      </c>
    </row>
    <row r="28" spans="1:9" ht="15" thickBot="1" x14ac:dyDescent="0.35">
      <c r="A28" s="70">
        <v>-150</v>
      </c>
      <c r="B28" s="70">
        <v>5</v>
      </c>
      <c r="C28">
        <v>135</v>
      </c>
      <c r="D28">
        <f>C28*B28</f>
        <v>675</v>
      </c>
    </row>
    <row r="29" spans="1:9" ht="15" thickBot="1" x14ac:dyDescent="0.35">
      <c r="A29" s="70" t="s">
        <v>163</v>
      </c>
      <c r="B29" s="70">
        <v>16</v>
      </c>
      <c r="C29">
        <v>165</v>
      </c>
      <c r="D29">
        <f t="shared" ref="D29:D36" si="3">C29*B29</f>
        <v>2640</v>
      </c>
    </row>
    <row r="30" spans="1:9" ht="15" thickBot="1" x14ac:dyDescent="0.35">
      <c r="A30" s="70" t="s">
        <v>164</v>
      </c>
      <c r="B30" s="70">
        <v>24</v>
      </c>
      <c r="C30">
        <v>195</v>
      </c>
      <c r="D30">
        <f t="shared" si="3"/>
        <v>4680</v>
      </c>
      <c r="F30" t="s">
        <v>223</v>
      </c>
      <c r="G30">
        <v>45</v>
      </c>
      <c r="I30">
        <v>210</v>
      </c>
    </row>
    <row r="31" spans="1:9" ht="15" thickBot="1" x14ac:dyDescent="0.35">
      <c r="A31" s="70" t="s">
        <v>165</v>
      </c>
      <c r="B31" s="70">
        <v>32</v>
      </c>
      <c r="C31">
        <v>225</v>
      </c>
      <c r="D31">
        <f t="shared" si="3"/>
        <v>7200</v>
      </c>
      <c r="F31" t="s">
        <v>224</v>
      </c>
      <c r="G31">
        <v>90</v>
      </c>
      <c r="I31">
        <f>30*(13/38)+240</f>
        <v>250.26315789473685</v>
      </c>
    </row>
    <row r="32" spans="1:9" ht="15" thickBot="1" x14ac:dyDescent="0.35">
      <c r="A32" s="70" t="s">
        <v>166</v>
      </c>
      <c r="B32" s="70">
        <v>38</v>
      </c>
      <c r="C32">
        <v>255</v>
      </c>
      <c r="D32">
        <f t="shared" si="3"/>
        <v>9690</v>
      </c>
      <c r="F32" t="s">
        <v>225</v>
      </c>
      <c r="G32">
        <v>45</v>
      </c>
      <c r="I32">
        <f>30*(20/26)+270</f>
        <v>293.07692307692309</v>
      </c>
    </row>
    <row r="33" spans="1:4" ht="15" thickBot="1" x14ac:dyDescent="0.35">
      <c r="A33" s="70" t="s">
        <v>167</v>
      </c>
      <c r="B33" s="70">
        <v>26</v>
      </c>
      <c r="C33">
        <v>285</v>
      </c>
      <c r="D33">
        <f t="shared" si="3"/>
        <v>7410</v>
      </c>
    </row>
    <row r="34" spans="1:4" ht="15" thickBot="1" x14ac:dyDescent="0.35">
      <c r="A34" s="70" t="s">
        <v>168</v>
      </c>
      <c r="B34" s="70">
        <v>18</v>
      </c>
      <c r="C34">
        <v>315</v>
      </c>
      <c r="D34">
        <f t="shared" si="3"/>
        <v>5670</v>
      </c>
    </row>
    <row r="35" spans="1:4" ht="15" thickBot="1" x14ac:dyDescent="0.35">
      <c r="A35" s="70" t="s">
        <v>169</v>
      </c>
      <c r="B35" s="70">
        <v>13</v>
      </c>
      <c r="C35">
        <v>345</v>
      </c>
      <c r="D35">
        <f t="shared" si="3"/>
        <v>4485</v>
      </c>
    </row>
    <row r="36" spans="1:4" ht="15" thickBot="1" x14ac:dyDescent="0.35">
      <c r="A36" s="76" t="s">
        <v>170</v>
      </c>
      <c r="B36" s="70">
        <v>8</v>
      </c>
      <c r="C36">
        <v>375</v>
      </c>
      <c r="D36">
        <f t="shared" si="3"/>
        <v>3000</v>
      </c>
    </row>
    <row r="37" spans="1:4" ht="15" thickBot="1" x14ac:dyDescent="0.35">
      <c r="A37" s="70" t="s">
        <v>0</v>
      </c>
      <c r="B37" s="70">
        <v>180</v>
      </c>
      <c r="D37">
        <f>SUM(D28:D36)</f>
        <v>45450</v>
      </c>
    </row>
    <row r="40" spans="1:4" x14ac:dyDescent="0.3">
      <c r="A40">
        <f>D37/180</f>
        <v>252.5</v>
      </c>
    </row>
    <row r="41" spans="1:4" x14ac:dyDescent="0.3">
      <c r="A41">
        <f>I32-I31</f>
        <v>42.813765182186245</v>
      </c>
      <c r="C41">
        <f>I31-I30</f>
        <v>40.26315789473685</v>
      </c>
    </row>
    <row r="42" spans="1:4" x14ac:dyDescent="0.3">
      <c r="A42" t="s">
        <v>209</v>
      </c>
      <c r="B42">
        <f>(A41-C41)/(I32-I30)</f>
        <v>3.0701754385964935E-2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4B8C2-7CB2-4A3F-B8C6-740B69063555}">
  <dimension ref="A1:H39"/>
  <sheetViews>
    <sheetView workbookViewId="0">
      <selection activeCell="J40" sqref="J40"/>
    </sheetView>
  </sheetViews>
  <sheetFormatPr defaultRowHeight="14.4" x14ac:dyDescent="0.3"/>
  <sheetData>
    <row r="1" spans="1:8" x14ac:dyDescent="0.3">
      <c r="A1" s="1" t="s">
        <v>178</v>
      </c>
      <c r="B1" s="2" t="s">
        <v>179</v>
      </c>
      <c r="C1" s="1" t="s">
        <v>180</v>
      </c>
      <c r="D1" s="2" t="s">
        <v>181</v>
      </c>
      <c r="E1" s="1" t="s">
        <v>180</v>
      </c>
    </row>
    <row r="2" spans="1:8" x14ac:dyDescent="0.3">
      <c r="A2" s="50"/>
      <c r="B2" s="3" t="s">
        <v>182</v>
      </c>
      <c r="C2" s="3" t="s">
        <v>184</v>
      </c>
      <c r="D2" s="3" t="s">
        <v>182</v>
      </c>
      <c r="E2" s="3" t="s">
        <v>184</v>
      </c>
    </row>
    <row r="3" spans="1:8" ht="20.399999999999999" x14ac:dyDescent="0.3">
      <c r="A3" s="50"/>
      <c r="B3" s="3" t="s">
        <v>183</v>
      </c>
      <c r="C3" s="3" t="s">
        <v>185</v>
      </c>
      <c r="D3" s="3" t="s">
        <v>183</v>
      </c>
      <c r="E3" s="3" t="s">
        <v>185</v>
      </c>
      <c r="F3" s="3" t="s">
        <v>189</v>
      </c>
    </row>
    <row r="4" spans="1:8" ht="20.399999999999999" x14ac:dyDescent="0.3">
      <c r="A4" s="1" t="s">
        <v>186</v>
      </c>
      <c r="B4" s="3">
        <v>22</v>
      </c>
      <c r="C4" s="3">
        <v>2360</v>
      </c>
      <c r="D4" s="3">
        <v>17</v>
      </c>
      <c r="E4" s="3">
        <v>2144</v>
      </c>
      <c r="F4">
        <f>C4/B4</f>
        <v>107.27272727272727</v>
      </c>
      <c r="H4">
        <f>D4*F4</f>
        <v>1823.6363636363635</v>
      </c>
    </row>
    <row r="5" spans="1:8" ht="20.399999999999999" x14ac:dyDescent="0.3">
      <c r="A5" s="1" t="s">
        <v>187</v>
      </c>
      <c r="B5" s="3">
        <v>41</v>
      </c>
      <c r="C5" s="3">
        <v>3984</v>
      </c>
      <c r="D5" s="3">
        <v>40</v>
      </c>
      <c r="E5" s="3">
        <v>4578</v>
      </c>
      <c r="F5">
        <f t="shared" ref="F5:F6" si="0">C5/B5</f>
        <v>97.170731707317074</v>
      </c>
      <c r="H5">
        <f>D5*F5</f>
        <v>3886.8292682926831</v>
      </c>
    </row>
    <row r="6" spans="1:8" ht="20.399999999999999" x14ac:dyDescent="0.3">
      <c r="A6" s="1" t="s">
        <v>188</v>
      </c>
      <c r="B6" s="3">
        <v>50</v>
      </c>
      <c r="C6" s="3">
        <v>4100</v>
      </c>
      <c r="D6" s="3">
        <v>60</v>
      </c>
      <c r="E6" s="3">
        <v>5850</v>
      </c>
      <c r="F6">
        <f t="shared" si="0"/>
        <v>82</v>
      </c>
      <c r="H6">
        <f>D6*F6</f>
        <v>4920</v>
      </c>
    </row>
    <row r="7" spans="1:8" x14ac:dyDescent="0.3">
      <c r="A7" s="1" t="s">
        <v>0</v>
      </c>
      <c r="B7" s="3">
        <v>113</v>
      </c>
      <c r="C7" s="3">
        <v>10444</v>
      </c>
      <c r="D7" s="3">
        <v>117</v>
      </c>
      <c r="E7" s="3">
        <v>12572</v>
      </c>
      <c r="F7">
        <f>SUM(F4:F6)</f>
        <v>286.44345898004434</v>
      </c>
      <c r="H7">
        <f t="shared" ref="G7:H7" si="1">SUM(H4:H6)</f>
        <v>10630.465631929046</v>
      </c>
    </row>
    <row r="9" spans="1:8" x14ac:dyDescent="0.3">
      <c r="A9" s="1" t="s">
        <v>191</v>
      </c>
      <c r="B9">
        <f>(E7/D7)/(C7/B7)</f>
        <v>1.162599390481428</v>
      </c>
    </row>
    <row r="10" spans="1:8" x14ac:dyDescent="0.3">
      <c r="A10" s="1" t="s">
        <v>193</v>
      </c>
      <c r="B10">
        <f>E7/H7</f>
        <v>1.1826386947942784</v>
      </c>
    </row>
    <row r="11" spans="1:8" x14ac:dyDescent="0.3">
      <c r="A11" s="1" t="s">
        <v>226</v>
      </c>
      <c r="B11">
        <f>B9/B10</f>
        <v>0.98305542986115779</v>
      </c>
    </row>
    <row r="14" spans="1:8" ht="15" thickBot="1" x14ac:dyDescent="0.35"/>
    <row r="15" spans="1:8" ht="31.2" thickBot="1" x14ac:dyDescent="0.35">
      <c r="A15" s="22" t="s">
        <v>105</v>
      </c>
      <c r="B15" s="22" t="s">
        <v>106</v>
      </c>
    </row>
    <row r="16" spans="1:8" ht="15" thickBot="1" x14ac:dyDescent="0.35">
      <c r="A16" s="22">
        <v>-20</v>
      </c>
      <c r="B16" s="22">
        <v>11</v>
      </c>
      <c r="C16">
        <v>15</v>
      </c>
      <c r="D16">
        <f>B16*C16</f>
        <v>165</v>
      </c>
    </row>
    <row r="17" spans="1:7" ht="15" thickBot="1" x14ac:dyDescent="0.35">
      <c r="A17" s="22" t="s">
        <v>107</v>
      </c>
      <c r="B17" s="22">
        <v>27</v>
      </c>
      <c r="C17">
        <v>25</v>
      </c>
      <c r="D17">
        <f t="shared" ref="D17:D21" si="2">B17*C17</f>
        <v>675</v>
      </c>
    </row>
    <row r="18" spans="1:7" ht="15" thickBot="1" x14ac:dyDescent="0.35">
      <c r="A18" s="22" t="s">
        <v>108</v>
      </c>
      <c r="B18" s="22">
        <v>31</v>
      </c>
      <c r="C18">
        <v>35</v>
      </c>
      <c r="D18">
        <f t="shared" si="2"/>
        <v>1085</v>
      </c>
    </row>
    <row r="19" spans="1:7" ht="15" thickBot="1" x14ac:dyDescent="0.35">
      <c r="A19" s="22" t="s">
        <v>109</v>
      </c>
      <c r="B19" s="22">
        <v>40</v>
      </c>
      <c r="C19">
        <v>45</v>
      </c>
      <c r="D19">
        <f t="shared" si="2"/>
        <v>1800</v>
      </c>
    </row>
    <row r="20" spans="1:7" ht="15" thickBot="1" x14ac:dyDescent="0.35">
      <c r="A20" s="22" t="s">
        <v>110</v>
      </c>
      <c r="B20" s="22">
        <v>32</v>
      </c>
      <c r="C20">
        <v>55</v>
      </c>
      <c r="D20">
        <f t="shared" si="2"/>
        <v>1760</v>
      </c>
    </row>
    <row r="21" spans="1:7" ht="15" thickBot="1" x14ac:dyDescent="0.35">
      <c r="A21" s="49" t="s">
        <v>111</v>
      </c>
      <c r="B21" s="22">
        <v>22</v>
      </c>
      <c r="C21">
        <v>65</v>
      </c>
      <c r="D21">
        <f t="shared" si="2"/>
        <v>1430</v>
      </c>
    </row>
    <row r="22" spans="1:7" ht="15" thickBot="1" x14ac:dyDescent="0.35">
      <c r="A22" s="21" t="s">
        <v>112</v>
      </c>
      <c r="B22" s="22">
        <v>163</v>
      </c>
      <c r="D22">
        <f>SUM(D16:D21)</f>
        <v>6915</v>
      </c>
    </row>
    <row r="24" spans="1:7" x14ac:dyDescent="0.3">
      <c r="A24">
        <f>D22*0.2784</f>
        <v>1925.136</v>
      </c>
    </row>
    <row r="27" spans="1:7" ht="15" thickBot="1" x14ac:dyDescent="0.35"/>
    <row r="28" spans="1:7" x14ac:dyDescent="0.3">
      <c r="A28" s="77"/>
      <c r="B28" s="71"/>
      <c r="C28" s="73" t="s">
        <v>228</v>
      </c>
      <c r="D28" s="5"/>
    </row>
    <row r="29" spans="1:7" ht="21" thickBot="1" x14ac:dyDescent="0.35">
      <c r="A29" s="78" t="s">
        <v>227</v>
      </c>
      <c r="B29" s="72"/>
      <c r="C29" s="74"/>
      <c r="D29" s="5"/>
    </row>
    <row r="30" spans="1:7" ht="15" thickBot="1" x14ac:dyDescent="0.35">
      <c r="A30" s="68"/>
      <c r="B30" s="70" t="s">
        <v>229</v>
      </c>
      <c r="C30" s="68">
        <v>40</v>
      </c>
      <c r="D30" s="70">
        <v>7</v>
      </c>
      <c r="F30">
        <v>35</v>
      </c>
      <c r="G30">
        <f>D30*F30</f>
        <v>245</v>
      </c>
    </row>
    <row r="31" spans="1:7" ht="15" thickBot="1" x14ac:dyDescent="0.35">
      <c r="A31" s="79">
        <v>41</v>
      </c>
      <c r="B31" s="70" t="s">
        <v>229</v>
      </c>
      <c r="C31" s="68">
        <v>50</v>
      </c>
      <c r="D31" s="70">
        <v>30</v>
      </c>
      <c r="F31">
        <v>45</v>
      </c>
      <c r="G31">
        <f t="shared" ref="G31:G35" si="3">D31*F31</f>
        <v>1350</v>
      </c>
    </row>
    <row r="32" spans="1:7" ht="15" thickBot="1" x14ac:dyDescent="0.35">
      <c r="A32" s="79">
        <v>51</v>
      </c>
      <c r="B32" s="70" t="s">
        <v>229</v>
      </c>
      <c r="C32" s="68">
        <v>60</v>
      </c>
      <c r="D32" s="70">
        <v>42</v>
      </c>
      <c r="F32">
        <v>55</v>
      </c>
      <c r="G32">
        <f t="shared" si="3"/>
        <v>2310</v>
      </c>
    </row>
    <row r="33" spans="1:7" ht="15" thickBot="1" x14ac:dyDescent="0.35">
      <c r="A33" s="79">
        <v>61</v>
      </c>
      <c r="B33" s="70" t="s">
        <v>229</v>
      </c>
      <c r="C33" s="68">
        <v>70</v>
      </c>
      <c r="D33" s="70">
        <v>20</v>
      </c>
      <c r="F33">
        <v>65</v>
      </c>
      <c r="G33">
        <f t="shared" si="3"/>
        <v>1300</v>
      </c>
    </row>
    <row r="34" spans="1:7" ht="15" thickBot="1" x14ac:dyDescent="0.35">
      <c r="A34" s="79">
        <v>71</v>
      </c>
      <c r="B34" s="70" t="s">
        <v>229</v>
      </c>
      <c r="C34" s="68">
        <v>80</v>
      </c>
      <c r="D34" s="70">
        <v>16</v>
      </c>
      <c r="F34">
        <v>75</v>
      </c>
      <c r="G34">
        <f t="shared" si="3"/>
        <v>1200</v>
      </c>
    </row>
    <row r="35" spans="1:7" ht="15" thickBot="1" x14ac:dyDescent="0.35">
      <c r="A35" s="79">
        <v>81</v>
      </c>
      <c r="B35" s="70" t="s">
        <v>229</v>
      </c>
      <c r="C35" s="68"/>
      <c r="D35" s="70">
        <v>10</v>
      </c>
      <c r="F35">
        <v>85</v>
      </c>
      <c r="G35">
        <f t="shared" si="3"/>
        <v>850</v>
      </c>
    </row>
    <row r="36" spans="1:7" ht="15" thickBot="1" x14ac:dyDescent="0.35">
      <c r="A36" s="68"/>
      <c r="B36" s="68" t="s">
        <v>112</v>
      </c>
      <c r="C36" s="68"/>
      <c r="D36" s="70">
        <v>125</v>
      </c>
      <c r="G36">
        <f>SUM(G30:G35)</f>
        <v>7255</v>
      </c>
    </row>
    <row r="39" spans="1:7" x14ac:dyDescent="0.3">
      <c r="A39">
        <f>G36/D36</f>
        <v>58.04</v>
      </c>
    </row>
  </sheetData>
  <mergeCells count="3">
    <mergeCell ref="A2:A3"/>
    <mergeCell ref="B28:B29"/>
    <mergeCell ref="C28:C2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CFCE7-190C-4865-A9D2-A8F97D80DE30}">
  <dimension ref="A1:H27"/>
  <sheetViews>
    <sheetView workbookViewId="0">
      <selection activeCell="A28" sqref="A28"/>
    </sheetView>
  </sheetViews>
  <sheetFormatPr defaultRowHeight="14.4" x14ac:dyDescent="0.3"/>
  <sheetData>
    <row r="1" spans="1:8" ht="30.6" x14ac:dyDescent="0.3">
      <c r="A1" s="1" t="s">
        <v>29</v>
      </c>
      <c r="B1" s="3" t="s">
        <v>30</v>
      </c>
      <c r="C1" s="3" t="s">
        <v>30</v>
      </c>
      <c r="D1" s="3" t="s">
        <v>31</v>
      </c>
      <c r="E1" s="3" t="s">
        <v>31</v>
      </c>
    </row>
    <row r="2" spans="1:8" ht="20.399999999999999" x14ac:dyDescent="0.3">
      <c r="A2" s="1" t="s">
        <v>32</v>
      </c>
      <c r="B2" s="3" t="s">
        <v>24</v>
      </c>
      <c r="C2" s="3" t="s">
        <v>24</v>
      </c>
      <c r="D2" s="3" t="s">
        <v>33</v>
      </c>
      <c r="E2" s="3" t="s">
        <v>33</v>
      </c>
    </row>
    <row r="3" spans="1:8" x14ac:dyDescent="0.3">
      <c r="A3" s="1"/>
      <c r="B3" s="3" t="s">
        <v>34</v>
      </c>
      <c r="C3" s="3" t="s">
        <v>35</v>
      </c>
      <c r="D3" s="3" t="s">
        <v>35</v>
      </c>
      <c r="E3" s="3" t="s">
        <v>34</v>
      </c>
      <c r="F3">
        <v>2020</v>
      </c>
      <c r="G3">
        <v>2021</v>
      </c>
    </row>
    <row r="4" spans="1:8" ht="20.399999999999999" x14ac:dyDescent="0.3">
      <c r="A4" s="1" t="s">
        <v>36</v>
      </c>
      <c r="B4" s="3">
        <v>40</v>
      </c>
      <c r="C4" s="3">
        <v>68.900000000000006</v>
      </c>
      <c r="D4" s="3">
        <v>90</v>
      </c>
      <c r="E4" s="3">
        <v>100</v>
      </c>
      <c r="F4">
        <f>(C4/D4)/100</f>
        <v>7.6555555555555569E-3</v>
      </c>
      <c r="G4">
        <f>(B4/E4)/100</f>
        <v>4.0000000000000001E-3</v>
      </c>
      <c r="H4">
        <f>G4*D4</f>
        <v>0.36</v>
      </c>
    </row>
    <row r="5" spans="1:8" ht="20.399999999999999" x14ac:dyDescent="0.3">
      <c r="A5" s="1" t="s">
        <v>37</v>
      </c>
      <c r="B5" s="3">
        <v>20</v>
      </c>
      <c r="C5" s="3">
        <v>16.7</v>
      </c>
      <c r="D5" s="3">
        <v>50</v>
      </c>
      <c r="E5" s="3">
        <v>56</v>
      </c>
      <c r="F5">
        <f t="shared" ref="F5:F6" si="0">(C5/D5)/100</f>
        <v>3.3399999999999997E-3</v>
      </c>
      <c r="G5">
        <f t="shared" ref="G5:G6" si="1">(B5/E5)/100</f>
        <v>3.5714285714285713E-3</v>
      </c>
      <c r="H5">
        <f t="shared" ref="H5:H6" si="2">G5*D5</f>
        <v>0.17857142857142858</v>
      </c>
    </row>
    <row r="6" spans="1:8" ht="20.399999999999999" x14ac:dyDescent="0.3">
      <c r="A6" s="1" t="s">
        <v>38</v>
      </c>
      <c r="B6" s="3">
        <v>40</v>
      </c>
      <c r="C6" s="3">
        <v>14.4</v>
      </c>
      <c r="D6" s="3">
        <v>42</v>
      </c>
      <c r="E6" s="3">
        <v>45</v>
      </c>
      <c r="F6">
        <f t="shared" si="0"/>
        <v>3.4285714285714284E-3</v>
      </c>
      <c r="G6">
        <f t="shared" si="1"/>
        <v>8.8888888888888889E-3</v>
      </c>
      <c r="H6">
        <f t="shared" si="2"/>
        <v>0.37333333333333335</v>
      </c>
    </row>
    <row r="7" spans="1:8" x14ac:dyDescent="0.3">
      <c r="A7" s="1" t="s">
        <v>0</v>
      </c>
      <c r="B7" s="3">
        <v>100</v>
      </c>
      <c r="C7" s="3">
        <v>100</v>
      </c>
      <c r="D7" s="1"/>
      <c r="E7" s="1"/>
      <c r="F7">
        <f>SUM(F4:F6)</f>
        <v>1.4424126984126985E-2</v>
      </c>
      <c r="G7">
        <f>SUM(G4:G6)</f>
        <v>1.646031746031746E-2</v>
      </c>
      <c r="H7">
        <f>SUM(H4:H6)</f>
        <v>0.911904761904762</v>
      </c>
    </row>
    <row r="8" spans="1:8" x14ac:dyDescent="0.3">
      <c r="H8">
        <f>H7/G7</f>
        <v>55.400192864030863</v>
      </c>
    </row>
    <row r="9" spans="1:8" x14ac:dyDescent="0.3">
      <c r="A9">
        <f>1/F7</f>
        <v>69.32828594066379</v>
      </c>
    </row>
    <row r="10" spans="1:8" x14ac:dyDescent="0.3">
      <c r="A10">
        <f>1/G7</f>
        <v>60.752169720347155</v>
      </c>
    </row>
    <row r="11" spans="1:8" x14ac:dyDescent="0.3">
      <c r="A11">
        <f>1-(A10/A9)</f>
        <v>0.12370298939247826</v>
      </c>
      <c r="B11">
        <f>A10/A9</f>
        <v>0.87629701060752174</v>
      </c>
    </row>
    <row r="12" spans="1:8" x14ac:dyDescent="0.3">
      <c r="A12">
        <f>A10/H8</f>
        <v>1.0966057441253263</v>
      </c>
    </row>
    <row r="13" spans="1:8" x14ac:dyDescent="0.3">
      <c r="A13">
        <f>H8/A9</f>
        <v>0.79909941681590679</v>
      </c>
    </row>
    <row r="16" spans="1:8" ht="15" thickBot="1" x14ac:dyDescent="0.35"/>
    <row r="17" spans="1:4" ht="31.2" thickBot="1" x14ac:dyDescent="0.35">
      <c r="A17" s="21" t="s">
        <v>105</v>
      </c>
      <c r="B17" s="22" t="s">
        <v>106</v>
      </c>
    </row>
    <row r="18" spans="1:4" ht="15" thickBot="1" x14ac:dyDescent="0.35">
      <c r="A18" s="22">
        <v>-20</v>
      </c>
      <c r="B18" s="22">
        <v>11</v>
      </c>
      <c r="C18">
        <v>15</v>
      </c>
      <c r="D18">
        <f>C18*B18</f>
        <v>165</v>
      </c>
    </row>
    <row r="19" spans="1:4" ht="15" thickBot="1" x14ac:dyDescent="0.35">
      <c r="A19" s="22" t="s">
        <v>107</v>
      </c>
      <c r="B19" s="22">
        <v>27</v>
      </c>
      <c r="C19">
        <v>25</v>
      </c>
      <c r="D19">
        <f t="shared" ref="D19:D23" si="3">C19*B19</f>
        <v>675</v>
      </c>
    </row>
    <row r="20" spans="1:4" ht="15" thickBot="1" x14ac:dyDescent="0.35">
      <c r="A20" s="22" t="s">
        <v>108</v>
      </c>
      <c r="B20" s="22">
        <v>31</v>
      </c>
      <c r="C20">
        <v>35</v>
      </c>
      <c r="D20">
        <f t="shared" si="3"/>
        <v>1085</v>
      </c>
    </row>
    <row r="21" spans="1:4" ht="15" thickBot="1" x14ac:dyDescent="0.35">
      <c r="A21" s="22" t="s">
        <v>109</v>
      </c>
      <c r="B21" s="22">
        <v>40</v>
      </c>
      <c r="C21">
        <v>45</v>
      </c>
      <c r="D21">
        <f t="shared" si="3"/>
        <v>1800</v>
      </c>
    </row>
    <row r="22" spans="1:4" ht="15" thickBot="1" x14ac:dyDescent="0.35">
      <c r="A22" s="22" t="s">
        <v>110</v>
      </c>
      <c r="B22" s="22">
        <v>32</v>
      </c>
      <c r="C22">
        <v>55</v>
      </c>
      <c r="D22">
        <f t="shared" si="3"/>
        <v>1760</v>
      </c>
    </row>
    <row r="23" spans="1:4" ht="15" thickBot="1" x14ac:dyDescent="0.35">
      <c r="A23" s="21" t="s">
        <v>111</v>
      </c>
      <c r="B23" s="22">
        <v>22</v>
      </c>
      <c r="C23">
        <v>65</v>
      </c>
      <c r="D23">
        <f t="shared" si="3"/>
        <v>1430</v>
      </c>
    </row>
    <row r="24" spans="1:4" ht="15" thickBot="1" x14ac:dyDescent="0.35">
      <c r="A24" s="21" t="s">
        <v>112</v>
      </c>
      <c r="B24" s="22">
        <v>163</v>
      </c>
      <c r="D24">
        <f>SUM(D18:D23)</f>
        <v>6915</v>
      </c>
    </row>
    <row r="26" spans="1:4" x14ac:dyDescent="0.3">
      <c r="A26">
        <f>(D18+D19+D20+D21)*1000</f>
        <v>3725000</v>
      </c>
    </row>
    <row r="27" spans="1:4" x14ac:dyDescent="0.3">
      <c r="A27">
        <f>31/163</f>
        <v>0.19018404907975461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CBC87-0362-4BD5-8A69-E52EA0B82A45}">
  <dimension ref="A1:G26"/>
  <sheetViews>
    <sheetView workbookViewId="0">
      <selection activeCell="A27" sqref="A27"/>
    </sheetView>
  </sheetViews>
  <sheetFormatPr defaultRowHeight="14.4" x14ac:dyDescent="0.3"/>
  <cols>
    <col min="1" max="1" width="8.44140625" customWidth="1"/>
  </cols>
  <sheetData>
    <row r="1" spans="1:7" ht="20.399999999999999" x14ac:dyDescent="0.3">
      <c r="A1" s="1" t="s">
        <v>150</v>
      </c>
      <c r="B1" s="3" t="s">
        <v>151</v>
      </c>
      <c r="C1" s="3" t="s">
        <v>151</v>
      </c>
      <c r="D1" s="3" t="s">
        <v>150</v>
      </c>
      <c r="E1" s="3" t="s">
        <v>150</v>
      </c>
    </row>
    <row r="2" spans="1:7" ht="20.399999999999999" x14ac:dyDescent="0.3">
      <c r="A2" s="1" t="s">
        <v>152</v>
      </c>
      <c r="B2" s="3" t="s">
        <v>153</v>
      </c>
      <c r="C2" s="3" t="s">
        <v>153</v>
      </c>
      <c r="D2" s="3" t="s">
        <v>154</v>
      </c>
      <c r="E2" s="3" t="s">
        <v>154</v>
      </c>
    </row>
    <row r="3" spans="1:7" x14ac:dyDescent="0.3">
      <c r="A3" s="1"/>
      <c r="B3" s="3">
        <v>2020</v>
      </c>
      <c r="C3" s="3">
        <v>2021</v>
      </c>
      <c r="D3" s="3">
        <v>2020</v>
      </c>
      <c r="E3" s="3">
        <v>2021</v>
      </c>
      <c r="F3" s="3">
        <v>2020</v>
      </c>
      <c r="G3" s="3">
        <v>2021</v>
      </c>
    </row>
    <row r="4" spans="1:7" x14ac:dyDescent="0.3">
      <c r="A4" s="1" t="s">
        <v>155</v>
      </c>
      <c r="B4" s="3">
        <v>10</v>
      </c>
      <c r="C4" s="3">
        <v>5</v>
      </c>
      <c r="D4" s="3">
        <v>40</v>
      </c>
      <c r="E4" s="3">
        <v>50</v>
      </c>
      <c r="F4">
        <f>D4/B4</f>
        <v>4</v>
      </c>
      <c r="G4">
        <f>E4/C4</f>
        <v>10</v>
      </c>
    </row>
    <row r="5" spans="1:7" x14ac:dyDescent="0.3">
      <c r="A5" s="1" t="s">
        <v>156</v>
      </c>
      <c r="B5" s="3">
        <v>10</v>
      </c>
      <c r="C5" s="3">
        <v>8</v>
      </c>
      <c r="D5" s="3">
        <v>20</v>
      </c>
      <c r="E5" s="3">
        <v>25</v>
      </c>
      <c r="F5">
        <f t="shared" ref="F5:F6" si="0">D5/B5</f>
        <v>2</v>
      </c>
      <c r="G5">
        <f t="shared" ref="G5:G6" si="1">E5/C5</f>
        <v>3.125</v>
      </c>
    </row>
    <row r="6" spans="1:7" x14ac:dyDescent="0.3">
      <c r="A6" s="1" t="s">
        <v>157</v>
      </c>
      <c r="B6" s="3">
        <v>8</v>
      </c>
      <c r="C6" s="3">
        <v>12</v>
      </c>
      <c r="D6" s="3">
        <v>40</v>
      </c>
      <c r="E6" s="3">
        <v>25</v>
      </c>
      <c r="F6">
        <f t="shared" si="0"/>
        <v>5</v>
      </c>
      <c r="G6">
        <f t="shared" si="1"/>
        <v>2.0833333333333335</v>
      </c>
    </row>
    <row r="7" spans="1:7" x14ac:dyDescent="0.3">
      <c r="A7" s="1" t="s">
        <v>0</v>
      </c>
      <c r="B7" s="3" t="s">
        <v>158</v>
      </c>
      <c r="C7" s="3" t="s">
        <v>158</v>
      </c>
      <c r="D7" s="3">
        <v>100</v>
      </c>
      <c r="E7" s="3">
        <v>100</v>
      </c>
      <c r="F7">
        <f>SUM(F4:F6)</f>
        <v>11</v>
      </c>
      <c r="G7">
        <f>SUM(G4:G6)</f>
        <v>15.208333333333334</v>
      </c>
    </row>
    <row r="10" spans="1:7" x14ac:dyDescent="0.3">
      <c r="A10">
        <f>100/F7</f>
        <v>9.0909090909090917</v>
      </c>
    </row>
    <row r="11" spans="1:7" x14ac:dyDescent="0.3">
      <c r="A11">
        <f>100/G7</f>
        <v>6.5753424657534243</v>
      </c>
    </row>
    <row r="12" spans="1:7" x14ac:dyDescent="0.3">
      <c r="A12">
        <f>1-(A11/A10)</f>
        <v>0.27671232876712337</v>
      </c>
      <c r="B12">
        <f>A11/A10</f>
        <v>0.72328767123287663</v>
      </c>
    </row>
    <row r="13" spans="1:7" x14ac:dyDescent="0.3">
      <c r="A13">
        <f>SUMPRODUCT(G4:G6,B4:B6)/G7</f>
        <v>9.7260273972602729</v>
      </c>
      <c r="B13">
        <f>A11/A13</f>
        <v>0.676056338028169</v>
      </c>
    </row>
    <row r="15" spans="1:7" ht="15" thickBot="1" x14ac:dyDescent="0.35"/>
    <row r="16" spans="1:7" ht="31.2" thickBot="1" x14ac:dyDescent="0.35">
      <c r="A16" s="21" t="s">
        <v>105</v>
      </c>
      <c r="B16" s="22" t="s">
        <v>106</v>
      </c>
    </row>
    <row r="17" spans="1:4" ht="15" thickBot="1" x14ac:dyDescent="0.35">
      <c r="A17" s="22">
        <v>-20</v>
      </c>
      <c r="B17" s="22">
        <v>11</v>
      </c>
      <c r="C17">
        <v>15</v>
      </c>
      <c r="D17">
        <f>B17*C17</f>
        <v>165</v>
      </c>
    </row>
    <row r="18" spans="1:4" ht="15" thickBot="1" x14ac:dyDescent="0.35">
      <c r="A18" s="22" t="s">
        <v>107</v>
      </c>
      <c r="B18" s="22">
        <v>27</v>
      </c>
      <c r="C18">
        <v>25</v>
      </c>
      <c r="D18">
        <f t="shared" ref="D18:D22" si="2">B18*C18</f>
        <v>675</v>
      </c>
    </row>
    <row r="19" spans="1:4" ht="15" thickBot="1" x14ac:dyDescent="0.35">
      <c r="A19" s="22" t="s">
        <v>108</v>
      </c>
      <c r="B19" s="22">
        <v>31</v>
      </c>
      <c r="C19">
        <v>35</v>
      </c>
      <c r="D19">
        <f t="shared" si="2"/>
        <v>1085</v>
      </c>
    </row>
    <row r="20" spans="1:4" ht="15" thickBot="1" x14ac:dyDescent="0.35">
      <c r="A20" s="22" t="s">
        <v>109</v>
      </c>
      <c r="B20" s="22">
        <v>40</v>
      </c>
      <c r="C20">
        <v>45</v>
      </c>
      <c r="D20">
        <f t="shared" si="2"/>
        <v>1800</v>
      </c>
    </row>
    <row r="21" spans="1:4" ht="15" thickBot="1" x14ac:dyDescent="0.35">
      <c r="A21" s="22" t="s">
        <v>110</v>
      </c>
      <c r="B21" s="22">
        <v>32</v>
      </c>
      <c r="C21">
        <v>55</v>
      </c>
      <c r="D21">
        <f t="shared" si="2"/>
        <v>1760</v>
      </c>
    </row>
    <row r="22" spans="1:4" ht="15" thickBot="1" x14ac:dyDescent="0.35">
      <c r="A22" s="21" t="s">
        <v>111</v>
      </c>
      <c r="B22" s="22">
        <v>22</v>
      </c>
      <c r="C22">
        <v>65</v>
      </c>
      <c r="D22">
        <f t="shared" si="2"/>
        <v>1430</v>
      </c>
    </row>
    <row r="23" spans="1:4" ht="15" thickBot="1" x14ac:dyDescent="0.35">
      <c r="A23" s="21" t="s">
        <v>112</v>
      </c>
      <c r="B23" s="22">
        <v>163</v>
      </c>
      <c r="D23">
        <f>SUM(D17:D22)</f>
        <v>6915</v>
      </c>
    </row>
    <row r="25" spans="1:4" x14ac:dyDescent="0.3">
      <c r="A25">
        <f>SUM(D17:D20)*1000</f>
        <v>3725000</v>
      </c>
    </row>
    <row r="26" spans="1:4" x14ac:dyDescent="0.3">
      <c r="A26">
        <f>31/163</f>
        <v>0.19018404907975461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06E92-A6F1-4A5E-A2A8-87E0D1D5282E}">
  <dimension ref="A1:H40"/>
  <sheetViews>
    <sheetView topLeftCell="A16" workbookViewId="0">
      <selection activeCell="B41" sqref="B41"/>
    </sheetView>
  </sheetViews>
  <sheetFormatPr defaultRowHeight="14.4" x14ac:dyDescent="0.3"/>
  <cols>
    <col min="6" max="6" width="12" bestFit="1" customWidth="1"/>
  </cols>
  <sheetData>
    <row r="1" spans="1:8" x14ac:dyDescent="0.3">
      <c r="A1" s="1" t="s">
        <v>178</v>
      </c>
      <c r="B1" s="2" t="s">
        <v>179</v>
      </c>
      <c r="C1" s="1" t="s">
        <v>180</v>
      </c>
      <c r="D1" s="2" t="s">
        <v>181</v>
      </c>
      <c r="E1" s="1" t="s">
        <v>180</v>
      </c>
    </row>
    <row r="2" spans="1:8" x14ac:dyDescent="0.3">
      <c r="A2" s="50"/>
      <c r="B2" s="3" t="s">
        <v>182</v>
      </c>
      <c r="C2" s="3" t="s">
        <v>184</v>
      </c>
      <c r="D2" s="3" t="s">
        <v>182</v>
      </c>
      <c r="E2" s="3" t="s">
        <v>184</v>
      </c>
    </row>
    <row r="3" spans="1:8" ht="20.399999999999999" x14ac:dyDescent="0.3">
      <c r="A3" s="50"/>
      <c r="B3" s="3" t="s">
        <v>183</v>
      </c>
      <c r="C3" s="3" t="s">
        <v>185</v>
      </c>
      <c r="D3" s="3" t="s">
        <v>183</v>
      </c>
      <c r="E3" s="3" t="s">
        <v>185</v>
      </c>
    </row>
    <row r="4" spans="1:8" ht="20.399999999999999" x14ac:dyDescent="0.3">
      <c r="A4" s="1" t="s">
        <v>186</v>
      </c>
      <c r="B4" s="3">
        <v>22</v>
      </c>
      <c r="C4" s="3">
        <v>2360</v>
      </c>
      <c r="D4" s="3">
        <v>17</v>
      </c>
      <c r="E4" s="3">
        <v>2144</v>
      </c>
      <c r="F4">
        <f>C4/B4</f>
        <v>107.27272727272727</v>
      </c>
      <c r="G4">
        <f>E4/D4</f>
        <v>126.11764705882354</v>
      </c>
      <c r="H4">
        <f>D4*F4</f>
        <v>1823.6363636363635</v>
      </c>
    </row>
    <row r="5" spans="1:8" ht="20.399999999999999" x14ac:dyDescent="0.3">
      <c r="A5" s="1" t="s">
        <v>187</v>
      </c>
      <c r="B5" s="3">
        <v>41</v>
      </c>
      <c r="C5" s="3">
        <v>3984</v>
      </c>
      <c r="D5" s="3">
        <v>40</v>
      </c>
      <c r="E5" s="3">
        <v>4578</v>
      </c>
      <c r="F5">
        <f t="shared" ref="F5:F6" si="0">C5/B5</f>
        <v>97.170731707317074</v>
      </c>
      <c r="G5">
        <f t="shared" ref="G5:G6" si="1">E5/D5</f>
        <v>114.45</v>
      </c>
      <c r="H5">
        <f t="shared" ref="H5:H6" si="2">D5*F5</f>
        <v>3886.8292682926831</v>
      </c>
    </row>
    <row r="6" spans="1:8" ht="20.399999999999999" x14ac:dyDescent="0.3">
      <c r="A6" s="1" t="s">
        <v>188</v>
      </c>
      <c r="B6" s="3">
        <v>50</v>
      </c>
      <c r="C6" s="3">
        <v>4100</v>
      </c>
      <c r="D6" s="3">
        <v>60</v>
      </c>
      <c r="E6" s="3">
        <v>5850</v>
      </c>
      <c r="F6">
        <f t="shared" si="0"/>
        <v>82</v>
      </c>
      <c r="G6">
        <f t="shared" si="1"/>
        <v>97.5</v>
      </c>
      <c r="H6">
        <f t="shared" si="2"/>
        <v>4920</v>
      </c>
    </row>
    <row r="7" spans="1:8" x14ac:dyDescent="0.3">
      <c r="A7" s="1" t="s">
        <v>0</v>
      </c>
      <c r="B7" s="3">
        <v>113</v>
      </c>
      <c r="C7" s="3">
        <v>10444</v>
      </c>
      <c r="D7" s="3">
        <v>117</v>
      </c>
      <c r="E7" s="3">
        <v>12572</v>
      </c>
      <c r="F7">
        <f>SUM(F4:F6)</f>
        <v>286.44345898004434</v>
      </c>
      <c r="G7">
        <f>SUM(G4:G6)</f>
        <v>338.06764705882352</v>
      </c>
      <c r="H7">
        <f>SUM(H4:H6)</f>
        <v>10630.465631929046</v>
      </c>
    </row>
    <row r="10" spans="1:8" x14ac:dyDescent="0.3">
      <c r="A10" s="1" t="s">
        <v>191</v>
      </c>
      <c r="B10">
        <f>((E7/D7)/(C7/B7))</f>
        <v>1.162599390481428</v>
      </c>
    </row>
    <row r="11" spans="1:8" x14ac:dyDescent="0.3">
      <c r="A11" s="1" t="s">
        <v>193</v>
      </c>
      <c r="B11">
        <f>E7/H7</f>
        <v>1.1826386947942784</v>
      </c>
    </row>
    <row r="12" spans="1:8" x14ac:dyDescent="0.3">
      <c r="A12" s="1" t="s">
        <v>226</v>
      </c>
      <c r="B12">
        <f>B10/B11</f>
        <v>0.98305542986115779</v>
      </c>
    </row>
    <row r="15" spans="1:8" ht="15" thickBot="1" x14ac:dyDescent="0.35"/>
    <row r="16" spans="1:8" ht="31.2" thickBot="1" x14ac:dyDescent="0.35">
      <c r="A16" s="21" t="s">
        <v>105</v>
      </c>
      <c r="B16" s="22" t="s">
        <v>106</v>
      </c>
    </row>
    <row r="17" spans="1:6" ht="15" thickBot="1" x14ac:dyDescent="0.35">
      <c r="A17" s="22">
        <v>-20</v>
      </c>
      <c r="B17" s="22">
        <v>11</v>
      </c>
      <c r="C17">
        <v>15</v>
      </c>
      <c r="D17">
        <f>B17*C17</f>
        <v>165</v>
      </c>
    </row>
    <row r="18" spans="1:6" ht="15" thickBot="1" x14ac:dyDescent="0.35">
      <c r="A18" s="22" t="s">
        <v>107</v>
      </c>
      <c r="B18" s="22">
        <v>27</v>
      </c>
      <c r="C18">
        <v>25</v>
      </c>
      <c r="D18">
        <f t="shared" ref="D18:D22" si="3">B18*C18</f>
        <v>675</v>
      </c>
    </row>
    <row r="19" spans="1:6" ht="15" thickBot="1" x14ac:dyDescent="0.35">
      <c r="A19" s="22" t="s">
        <v>108</v>
      </c>
      <c r="B19" s="22">
        <v>31</v>
      </c>
      <c r="C19">
        <v>35</v>
      </c>
      <c r="D19">
        <f t="shared" si="3"/>
        <v>1085</v>
      </c>
    </row>
    <row r="20" spans="1:6" ht="15" thickBot="1" x14ac:dyDescent="0.35">
      <c r="A20" s="22" t="s">
        <v>109</v>
      </c>
      <c r="B20" s="22">
        <v>40</v>
      </c>
      <c r="C20">
        <v>45</v>
      </c>
      <c r="D20">
        <f t="shared" si="3"/>
        <v>1800</v>
      </c>
    </row>
    <row r="21" spans="1:6" ht="15" thickBot="1" x14ac:dyDescent="0.35">
      <c r="A21" s="22" t="s">
        <v>110</v>
      </c>
      <c r="B21" s="22">
        <v>32</v>
      </c>
      <c r="C21">
        <v>55</v>
      </c>
      <c r="D21">
        <f t="shared" si="3"/>
        <v>1760</v>
      </c>
    </row>
    <row r="22" spans="1:6" ht="15" thickBot="1" x14ac:dyDescent="0.35">
      <c r="A22" s="21" t="s">
        <v>111</v>
      </c>
      <c r="B22" s="22">
        <v>22</v>
      </c>
      <c r="C22">
        <v>65</v>
      </c>
      <c r="D22">
        <f t="shared" si="3"/>
        <v>1430</v>
      </c>
    </row>
    <row r="23" spans="1:6" ht="15" thickBot="1" x14ac:dyDescent="0.35">
      <c r="A23" s="21" t="s">
        <v>112</v>
      </c>
      <c r="B23" s="22">
        <v>163</v>
      </c>
      <c r="D23">
        <f>SUM(D17:D22)</f>
        <v>6915</v>
      </c>
    </row>
    <row r="25" spans="1:6" x14ac:dyDescent="0.3">
      <c r="A25">
        <f>SUM(D17:D20)*1000</f>
        <v>3725000</v>
      </c>
    </row>
    <row r="26" spans="1:6" x14ac:dyDescent="0.3">
      <c r="A26">
        <f>31/163</f>
        <v>0.19018404907975461</v>
      </c>
    </row>
    <row r="28" spans="1:6" ht="15" thickBot="1" x14ac:dyDescent="0.35"/>
    <row r="29" spans="1:6" ht="21" thickBot="1" x14ac:dyDescent="0.35">
      <c r="A29" s="70" t="s">
        <v>195</v>
      </c>
      <c r="B29" s="70" t="s">
        <v>196</v>
      </c>
    </row>
    <row r="30" spans="1:6" ht="15" thickBot="1" x14ac:dyDescent="0.35">
      <c r="A30" s="70" t="s">
        <v>197</v>
      </c>
      <c r="B30" s="70">
        <v>14</v>
      </c>
      <c r="C30">
        <v>3500</v>
      </c>
      <c r="D30">
        <f>B30*C30</f>
        <v>49000</v>
      </c>
      <c r="F30">
        <f>B30*(C30-B38)^2</f>
        <v>84035000</v>
      </c>
    </row>
    <row r="31" spans="1:6" ht="15" thickBot="1" x14ac:dyDescent="0.35">
      <c r="A31" s="70" t="s">
        <v>198</v>
      </c>
      <c r="B31" s="70">
        <v>37</v>
      </c>
      <c r="C31">
        <v>4500</v>
      </c>
      <c r="D31">
        <f t="shared" ref="D31:D35" si="4">B31*C31</f>
        <v>166500</v>
      </c>
      <c r="F31">
        <f>B31*(C31-B38)^2</f>
        <v>77792500</v>
      </c>
    </row>
    <row r="32" spans="1:6" ht="15" thickBot="1" x14ac:dyDescent="0.35">
      <c r="A32" s="70" t="s">
        <v>199</v>
      </c>
      <c r="B32" s="70">
        <v>44</v>
      </c>
      <c r="C32">
        <v>5500</v>
      </c>
      <c r="D32">
        <f t="shared" si="4"/>
        <v>242000</v>
      </c>
      <c r="F32">
        <f>B32*(C32-B38)^2</f>
        <v>8910000</v>
      </c>
    </row>
    <row r="33" spans="1:6" ht="15" thickBot="1" x14ac:dyDescent="0.35">
      <c r="A33" s="70" t="s">
        <v>200</v>
      </c>
      <c r="B33" s="70">
        <v>69</v>
      </c>
      <c r="C33">
        <v>6500</v>
      </c>
      <c r="D33">
        <f t="shared" si="4"/>
        <v>448500</v>
      </c>
      <c r="F33">
        <f>B33*(C33-B38)^2</f>
        <v>20872500</v>
      </c>
    </row>
    <row r="34" spans="1:6" ht="15" thickBot="1" x14ac:dyDescent="0.35">
      <c r="A34" s="70" t="s">
        <v>201</v>
      </c>
      <c r="B34" s="70">
        <v>22</v>
      </c>
      <c r="C34">
        <v>7500</v>
      </c>
      <c r="D34">
        <f t="shared" si="4"/>
        <v>165000</v>
      </c>
      <c r="F34">
        <f>B34*(C34-B38)^2</f>
        <v>52855000</v>
      </c>
    </row>
    <row r="35" spans="1:6" ht="15" thickBot="1" x14ac:dyDescent="0.35">
      <c r="A35" s="70" t="s">
        <v>202</v>
      </c>
      <c r="B35" s="70">
        <v>14</v>
      </c>
      <c r="C35">
        <v>8500</v>
      </c>
      <c r="D35">
        <f t="shared" si="4"/>
        <v>119000</v>
      </c>
      <c r="F35">
        <f>B35*(C35-B38)^2</f>
        <v>91035000</v>
      </c>
    </row>
    <row r="36" spans="1:6" ht="15" thickBot="1" x14ac:dyDescent="0.35">
      <c r="A36" s="70" t="s">
        <v>0</v>
      </c>
      <c r="B36" s="70">
        <v>200</v>
      </c>
      <c r="D36">
        <f>SUM(D30:D35)</f>
        <v>1190000</v>
      </c>
      <c r="F36">
        <f>SUM(F30:F35)</f>
        <v>335500000</v>
      </c>
    </row>
    <row r="38" spans="1:6" x14ac:dyDescent="0.3">
      <c r="A38" s="80" t="s">
        <v>230</v>
      </c>
      <c r="B38">
        <f>D36/200</f>
        <v>5950</v>
      </c>
    </row>
    <row r="39" spans="1:6" x14ac:dyDescent="0.3">
      <c r="A39" s="80" t="s">
        <v>231</v>
      </c>
      <c r="B39">
        <f>SQRT(F36/200)</f>
        <v>1295.1833846988618</v>
      </c>
    </row>
    <row r="40" spans="1:6" x14ac:dyDescent="0.3">
      <c r="A40" s="80" t="s">
        <v>232</v>
      </c>
      <c r="B40">
        <f>6000+((B33-B32)/((B33-B32)+(B33-B34)))*1000</f>
        <v>6347.2222222222226</v>
      </c>
    </row>
  </sheetData>
  <mergeCells count="1">
    <mergeCell ref="A2:A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5CA4C-68A4-46DA-8CE9-AF17B4F1B825}">
  <dimension ref="A1:G37"/>
  <sheetViews>
    <sheetView topLeftCell="A22" workbookViewId="0">
      <selection activeCell="D32" sqref="D32"/>
    </sheetView>
  </sheetViews>
  <sheetFormatPr defaultRowHeight="14.4" x14ac:dyDescent="0.3"/>
  <cols>
    <col min="4" max="4" width="11.33203125" bestFit="1" customWidth="1"/>
  </cols>
  <sheetData>
    <row r="1" spans="1:7" ht="20.399999999999999" x14ac:dyDescent="0.3">
      <c r="A1" s="1" t="s">
        <v>8</v>
      </c>
      <c r="B1" s="3" t="s">
        <v>9</v>
      </c>
      <c r="C1" s="3" t="s">
        <v>10</v>
      </c>
      <c r="D1" s="3" t="s">
        <v>11</v>
      </c>
    </row>
    <row r="2" spans="1:7" ht="30.6" x14ac:dyDescent="0.3">
      <c r="A2" s="1"/>
      <c r="B2" s="3" t="s">
        <v>12</v>
      </c>
      <c r="C2" s="2" t="s">
        <v>13</v>
      </c>
      <c r="D2" s="4" t="s">
        <v>14</v>
      </c>
      <c r="G2" t="s">
        <v>233</v>
      </c>
    </row>
    <row r="3" spans="1:7" x14ac:dyDescent="0.3">
      <c r="A3" s="1" t="s">
        <v>15</v>
      </c>
      <c r="B3" s="3">
        <v>550</v>
      </c>
      <c r="C3" s="3">
        <v>110</v>
      </c>
      <c r="D3" s="3">
        <v>102</v>
      </c>
      <c r="E3">
        <f>B3*1.1</f>
        <v>605</v>
      </c>
      <c r="F3">
        <f>B3*1.02</f>
        <v>561</v>
      </c>
      <c r="G3">
        <f>B3*1.1*1.02</f>
        <v>617.1</v>
      </c>
    </row>
    <row r="4" spans="1:7" x14ac:dyDescent="0.3">
      <c r="A4" s="1" t="s">
        <v>16</v>
      </c>
      <c r="B4" s="3">
        <v>400</v>
      </c>
      <c r="C4" s="3">
        <v>120</v>
      </c>
      <c r="D4" s="3">
        <v>95</v>
      </c>
      <c r="E4">
        <f>B4*1.2</f>
        <v>480</v>
      </c>
      <c r="F4">
        <f>B4*0.95</f>
        <v>380</v>
      </c>
      <c r="G4">
        <f>B4*1.2*0.95</f>
        <v>456</v>
      </c>
    </row>
    <row r="5" spans="1:7" x14ac:dyDescent="0.3">
      <c r="A5" s="1" t="s">
        <v>17</v>
      </c>
      <c r="B5" s="3">
        <v>750</v>
      </c>
      <c r="C5" s="3">
        <v>102</v>
      </c>
      <c r="D5" s="3">
        <v>110</v>
      </c>
      <c r="E5">
        <f>B5*1.02</f>
        <v>765</v>
      </c>
      <c r="F5">
        <f>B5*1.1</f>
        <v>825.00000000000011</v>
      </c>
      <c r="G5">
        <f t="shared" ref="G4:G5" si="0">B5*1.1*1.02</f>
        <v>841.50000000000011</v>
      </c>
    </row>
    <row r="6" spans="1:7" x14ac:dyDescent="0.3">
      <c r="A6" s="1" t="s">
        <v>0</v>
      </c>
      <c r="B6" s="3">
        <v>1700</v>
      </c>
      <c r="C6" s="1"/>
      <c r="D6" s="1"/>
      <c r="E6">
        <f>SUM(E3:E5)</f>
        <v>1850</v>
      </c>
      <c r="F6">
        <f t="shared" ref="F6:G6" si="1">SUM(F3:F5)</f>
        <v>1766</v>
      </c>
      <c r="G6">
        <f t="shared" si="1"/>
        <v>1914.6</v>
      </c>
    </row>
    <row r="8" spans="1:7" x14ac:dyDescent="0.3">
      <c r="A8">
        <f>G6-B6</f>
        <v>214.59999999999991</v>
      </c>
    </row>
    <row r="9" spans="1:7" x14ac:dyDescent="0.3">
      <c r="A9">
        <f>E6-B6</f>
        <v>150</v>
      </c>
    </row>
    <row r="10" spans="1:7" x14ac:dyDescent="0.3">
      <c r="A10">
        <f>B4*1.2*0.95</f>
        <v>456</v>
      </c>
    </row>
    <row r="11" spans="1:7" ht="15" thickBot="1" x14ac:dyDescent="0.35"/>
    <row r="12" spans="1:7" ht="20.399999999999999" x14ac:dyDescent="0.3">
      <c r="A12" s="53" t="s">
        <v>97</v>
      </c>
      <c r="B12" s="19" t="s">
        <v>98</v>
      </c>
      <c r="C12" s="19" t="s">
        <v>100</v>
      </c>
      <c r="D12" s="19" t="s">
        <v>100</v>
      </c>
      <c r="E12" s="19" t="s">
        <v>103</v>
      </c>
    </row>
    <row r="13" spans="1:7" ht="21" thickBot="1" x14ac:dyDescent="0.35">
      <c r="A13" s="54"/>
      <c r="B13" s="20" t="s">
        <v>99</v>
      </c>
      <c r="C13" s="20" t="s">
        <v>101</v>
      </c>
      <c r="D13" s="20" t="s">
        <v>102</v>
      </c>
      <c r="E13" s="20" t="s">
        <v>104</v>
      </c>
    </row>
    <row r="14" spans="1:7" ht="15" thickBot="1" x14ac:dyDescent="0.35">
      <c r="A14" s="21">
        <v>2011</v>
      </c>
      <c r="B14" s="22">
        <v>62</v>
      </c>
      <c r="C14" s="21">
        <v>100</v>
      </c>
      <c r="D14" s="21"/>
      <c r="E14" s="21"/>
    </row>
    <row r="15" spans="1:7" ht="15" thickBot="1" x14ac:dyDescent="0.35">
      <c r="A15" s="21">
        <v>2012</v>
      </c>
      <c r="B15" s="32">
        <f>B14*0.96774</f>
        <v>59.999880000000005</v>
      </c>
      <c r="C15" s="22">
        <v>96.774000000000001</v>
      </c>
      <c r="D15" s="21"/>
      <c r="E15" s="21"/>
    </row>
    <row r="16" spans="1:7" ht="15" thickBot="1" x14ac:dyDescent="0.35">
      <c r="A16" s="21">
        <v>2013</v>
      </c>
      <c r="B16" s="22">
        <v>59</v>
      </c>
      <c r="C16" s="21">
        <f>(B16/B14)*100</f>
        <v>95.161290322580655</v>
      </c>
      <c r="D16" s="21"/>
      <c r="E16" s="22">
        <v>-1</v>
      </c>
    </row>
    <row r="17" spans="1:5" ht="15" thickBot="1" x14ac:dyDescent="0.35">
      <c r="A17" s="21">
        <v>2014</v>
      </c>
      <c r="B17" s="21">
        <v>59.5</v>
      </c>
      <c r="C17" s="21">
        <f>(B17/B14)*100</f>
        <v>95.967741935483872</v>
      </c>
      <c r="D17" s="21"/>
      <c r="E17" s="22">
        <v>0.5</v>
      </c>
    </row>
    <row r="18" spans="1:5" ht="15" thickBot="1" x14ac:dyDescent="0.35">
      <c r="A18" s="21">
        <v>2015</v>
      </c>
      <c r="B18" s="21"/>
      <c r="C18" s="21"/>
      <c r="D18" s="22">
        <v>102.521</v>
      </c>
      <c r="E18" s="21"/>
    </row>
    <row r="19" spans="1:5" ht="15" thickBot="1" x14ac:dyDescent="0.35">
      <c r="A19" s="21">
        <v>2016</v>
      </c>
      <c r="B19" s="22">
        <v>61</v>
      </c>
      <c r="C19" s="21"/>
      <c r="D19" s="21"/>
      <c r="E19" s="21"/>
    </row>
    <row r="20" spans="1:5" ht="15" thickBot="1" x14ac:dyDescent="0.35">
      <c r="A20" s="21">
        <v>2017</v>
      </c>
      <c r="B20" s="21">
        <v>62</v>
      </c>
      <c r="C20" s="22">
        <v>100</v>
      </c>
      <c r="D20" s="21"/>
      <c r="E20" s="21"/>
    </row>
    <row r="21" spans="1:5" ht="15" thickBot="1" x14ac:dyDescent="0.35">
      <c r="A21" s="21">
        <v>2018</v>
      </c>
      <c r="B21" s="21">
        <v>63.5</v>
      </c>
      <c r="C21" s="21">
        <f>(B21/B20)*100</f>
        <v>102.41935483870968</v>
      </c>
      <c r="D21" s="21"/>
      <c r="E21" s="22">
        <v>1.5</v>
      </c>
    </row>
    <row r="24" spans="1:5" x14ac:dyDescent="0.3">
      <c r="A24">
        <f>100-C15</f>
        <v>3.2259999999999991</v>
      </c>
    </row>
    <row r="25" spans="1:5" x14ac:dyDescent="0.3">
      <c r="A25">
        <f>1-(59.5/62)</f>
        <v>4.0322580645161255E-2</v>
      </c>
    </row>
    <row r="28" spans="1:5" ht="15" thickBot="1" x14ac:dyDescent="0.35"/>
    <row r="29" spans="1:5" ht="15" thickBot="1" x14ac:dyDescent="0.35">
      <c r="A29" s="68" t="s">
        <v>130</v>
      </c>
      <c r="B29" s="70">
        <v>2010</v>
      </c>
      <c r="C29" s="70">
        <v>2019</v>
      </c>
      <c r="D29" s="70" t="s">
        <v>100</v>
      </c>
    </row>
    <row r="30" spans="1:5" ht="21" thickBot="1" x14ac:dyDescent="0.35">
      <c r="A30" s="68" t="s">
        <v>142</v>
      </c>
      <c r="B30" s="69">
        <v>10014000</v>
      </c>
      <c r="C30" s="68">
        <f>B30*E30</f>
        <v>9772662.5999999996</v>
      </c>
      <c r="D30" s="70">
        <v>97.59</v>
      </c>
      <c r="E30">
        <v>0.97589999999999999</v>
      </c>
    </row>
    <row r="31" spans="1:5" ht="21" thickBot="1" x14ac:dyDescent="0.35">
      <c r="A31" s="68" t="s">
        <v>143</v>
      </c>
      <c r="B31" s="69">
        <v>90335</v>
      </c>
      <c r="C31" s="69">
        <v>89193</v>
      </c>
      <c r="D31" s="68">
        <f>1-(C31/B31)</f>
        <v>1.2641833176509687E-2</v>
      </c>
    </row>
    <row r="32" spans="1:5" ht="41.4" thickBot="1" x14ac:dyDescent="0.35">
      <c r="A32" s="68" t="s">
        <v>144</v>
      </c>
      <c r="B32" s="68">
        <f>1000*(B31/B30)</f>
        <v>9.0208707809067299</v>
      </c>
      <c r="C32" s="70">
        <v>9.1300000000000008</v>
      </c>
      <c r="D32" s="68">
        <f>100*(C32/B32)</f>
        <v>101.20974151768418</v>
      </c>
      <c r="E32">
        <f>C31/C30</f>
        <v>9.12678597949345E-3</v>
      </c>
    </row>
    <row r="33" spans="1:4" ht="30.6" x14ac:dyDescent="0.3">
      <c r="A33" s="64" t="s">
        <v>145</v>
      </c>
      <c r="B33" s="73">
        <v>23.8</v>
      </c>
      <c r="C33" s="71">
        <f>C35/C30*100</f>
        <v>22.703444197490253</v>
      </c>
      <c r="D33" s="71">
        <f>100*(C33/B33)</f>
        <v>95.392622678530472</v>
      </c>
    </row>
    <row r="34" spans="1:4" ht="31.2" thickBot="1" x14ac:dyDescent="0.35">
      <c r="A34" s="78" t="s">
        <v>146</v>
      </c>
      <c r="B34" s="74"/>
      <c r="C34" s="72"/>
      <c r="D34" s="72"/>
    </row>
    <row r="35" spans="1:4" ht="41.4" thickBot="1" x14ac:dyDescent="0.35">
      <c r="A35" s="68" t="s">
        <v>147</v>
      </c>
      <c r="B35" s="68">
        <f>B30*0.238</f>
        <v>2383332</v>
      </c>
      <c r="C35" s="69">
        <v>2218731</v>
      </c>
      <c r="D35" s="68">
        <f>100*(C35/B35)</f>
        <v>93.093660471977884</v>
      </c>
    </row>
    <row r="36" spans="1:4" ht="40.799999999999997" x14ac:dyDescent="0.3">
      <c r="A36" s="64" t="s">
        <v>148</v>
      </c>
      <c r="B36" s="71"/>
      <c r="C36" s="71"/>
      <c r="D36" s="71"/>
    </row>
    <row r="37" spans="1:4" ht="21" thickBot="1" x14ac:dyDescent="0.35">
      <c r="A37" s="78" t="s">
        <v>149</v>
      </c>
      <c r="B37" s="72"/>
      <c r="C37" s="72"/>
      <c r="D37" s="72"/>
    </row>
  </sheetData>
  <mergeCells count="7">
    <mergeCell ref="A12:A13"/>
    <mergeCell ref="B33:B34"/>
    <mergeCell ref="C33:C34"/>
    <mergeCell ref="D33:D34"/>
    <mergeCell ref="B36:B37"/>
    <mergeCell ref="C36:C37"/>
    <mergeCell ref="D36:D3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167E-5FF4-4616-8ABB-1C229A502AC6}">
  <dimension ref="A1:G33"/>
  <sheetViews>
    <sheetView tabSelected="1" workbookViewId="0">
      <selection activeCell="I3" sqref="I3"/>
    </sheetView>
  </sheetViews>
  <sheetFormatPr defaultRowHeight="14.4" x14ac:dyDescent="0.3"/>
  <cols>
    <col min="4" max="4" width="10" bestFit="1" customWidth="1"/>
  </cols>
  <sheetData>
    <row r="1" spans="1:7" ht="20.399999999999999" x14ac:dyDescent="0.3">
      <c r="A1" s="1" t="s">
        <v>8</v>
      </c>
      <c r="B1" s="3" t="s">
        <v>9</v>
      </c>
      <c r="C1" s="3" t="s">
        <v>10</v>
      </c>
      <c r="D1" s="3" t="s">
        <v>11</v>
      </c>
    </row>
    <row r="2" spans="1:7" ht="30.6" x14ac:dyDescent="0.3">
      <c r="A2" s="1"/>
      <c r="B2" s="3" t="s">
        <v>12</v>
      </c>
      <c r="C2" s="2" t="s">
        <v>13</v>
      </c>
      <c r="D2" s="4" t="s">
        <v>14</v>
      </c>
      <c r="G2">
        <v>2</v>
      </c>
    </row>
    <row r="3" spans="1:7" x14ac:dyDescent="0.3">
      <c r="A3" s="1" t="s">
        <v>15</v>
      </c>
      <c r="B3" s="3">
        <v>550</v>
      </c>
      <c r="C3" s="3">
        <v>110</v>
      </c>
      <c r="D3" s="3">
        <v>102</v>
      </c>
      <c r="E3">
        <f>B3*1.1</f>
        <v>605</v>
      </c>
      <c r="F3">
        <f>B3*1.02</f>
        <v>561</v>
      </c>
      <c r="G3">
        <f>B3*1.1*1.02</f>
        <v>617.1</v>
      </c>
    </row>
    <row r="4" spans="1:7" x14ac:dyDescent="0.3">
      <c r="A4" s="1" t="s">
        <v>16</v>
      </c>
      <c r="B4" s="3">
        <v>400</v>
      </c>
      <c r="C4" s="3">
        <v>120</v>
      </c>
      <c r="D4" s="3">
        <v>95</v>
      </c>
      <c r="E4">
        <f>B4*1.2</f>
        <v>480</v>
      </c>
      <c r="F4">
        <f>B4*0.95</f>
        <v>380</v>
      </c>
      <c r="G4">
        <f>B4*1.2*0.95</f>
        <v>456</v>
      </c>
    </row>
    <row r="5" spans="1:7" x14ac:dyDescent="0.3">
      <c r="A5" s="1" t="s">
        <v>17</v>
      </c>
      <c r="B5" s="3">
        <v>750</v>
      </c>
      <c r="C5" s="3">
        <v>102</v>
      </c>
      <c r="D5" s="3">
        <v>110</v>
      </c>
      <c r="E5">
        <f>B5*1.02</f>
        <v>765</v>
      </c>
      <c r="F5">
        <f>B5*1.1</f>
        <v>825.00000000000011</v>
      </c>
      <c r="G5">
        <f t="shared" ref="G4:G5" si="0">B5*1.1*1.02</f>
        <v>841.50000000000011</v>
      </c>
    </row>
    <row r="6" spans="1:7" x14ac:dyDescent="0.3">
      <c r="A6" s="1" t="s">
        <v>0</v>
      </c>
      <c r="B6" s="3">
        <v>1700</v>
      </c>
      <c r="C6" s="1"/>
      <c r="D6" s="1"/>
      <c r="E6">
        <f>SUM(E3:E5)</f>
        <v>1850</v>
      </c>
      <c r="F6">
        <f>SUM(F3:F5)</f>
        <v>1766</v>
      </c>
      <c r="G6">
        <f>SUM(G3:G5)</f>
        <v>1914.6</v>
      </c>
    </row>
    <row r="8" spans="1:7" x14ac:dyDescent="0.3">
      <c r="A8">
        <f>G6-B6</f>
        <v>214.59999999999991</v>
      </c>
    </row>
    <row r="9" spans="1:7" x14ac:dyDescent="0.3">
      <c r="A9">
        <f>E6-B6</f>
        <v>150</v>
      </c>
    </row>
    <row r="10" spans="1:7" x14ac:dyDescent="0.3">
      <c r="A10">
        <v>456</v>
      </c>
    </row>
    <row r="11" spans="1:7" ht="15" thickBot="1" x14ac:dyDescent="0.35"/>
    <row r="12" spans="1:7" ht="31.2" thickBot="1" x14ac:dyDescent="0.35">
      <c r="A12" s="21" t="s">
        <v>105</v>
      </c>
      <c r="B12" s="22" t="s">
        <v>106</v>
      </c>
    </row>
    <row r="13" spans="1:7" ht="15" thickBot="1" x14ac:dyDescent="0.35">
      <c r="A13" s="22">
        <v>-20</v>
      </c>
      <c r="B13" s="22">
        <v>11</v>
      </c>
      <c r="C13">
        <v>15</v>
      </c>
      <c r="D13">
        <f>B13*C13</f>
        <v>165</v>
      </c>
    </row>
    <row r="14" spans="1:7" ht="15" thickBot="1" x14ac:dyDescent="0.35">
      <c r="A14" s="22" t="s">
        <v>107</v>
      </c>
      <c r="B14" s="22">
        <v>27</v>
      </c>
      <c r="C14">
        <v>25</v>
      </c>
      <c r="D14">
        <f t="shared" ref="D14:D18" si="1">B14*C14</f>
        <v>675</v>
      </c>
    </row>
    <row r="15" spans="1:7" ht="15" thickBot="1" x14ac:dyDescent="0.35">
      <c r="A15" s="22" t="s">
        <v>108</v>
      </c>
      <c r="B15" s="22">
        <v>31</v>
      </c>
      <c r="C15">
        <v>35</v>
      </c>
      <c r="D15">
        <f t="shared" si="1"/>
        <v>1085</v>
      </c>
    </row>
    <row r="16" spans="1:7" ht="15" thickBot="1" x14ac:dyDescent="0.35">
      <c r="A16" s="22" t="s">
        <v>109</v>
      </c>
      <c r="B16" s="22">
        <v>40</v>
      </c>
      <c r="C16">
        <v>45</v>
      </c>
      <c r="D16">
        <f t="shared" si="1"/>
        <v>1800</v>
      </c>
    </row>
    <row r="17" spans="1:5" ht="15" thickBot="1" x14ac:dyDescent="0.35">
      <c r="A17" s="22" t="s">
        <v>110</v>
      </c>
      <c r="B17" s="22">
        <v>32</v>
      </c>
      <c r="C17">
        <v>55</v>
      </c>
      <c r="D17">
        <f t="shared" si="1"/>
        <v>1760</v>
      </c>
    </row>
    <row r="18" spans="1:5" ht="15" thickBot="1" x14ac:dyDescent="0.35">
      <c r="A18" s="21" t="s">
        <v>111</v>
      </c>
      <c r="B18" s="22">
        <v>22</v>
      </c>
      <c r="C18">
        <v>65</v>
      </c>
      <c r="D18">
        <f t="shared" si="1"/>
        <v>1430</v>
      </c>
    </row>
    <row r="19" spans="1:5" ht="15" thickBot="1" x14ac:dyDescent="0.35">
      <c r="A19" s="21" t="s">
        <v>112</v>
      </c>
      <c r="B19" s="22">
        <v>163</v>
      </c>
      <c r="D19">
        <f>SUM(D13:D18)</f>
        <v>6915</v>
      </c>
    </row>
    <row r="21" spans="1:5" x14ac:dyDescent="0.3">
      <c r="A21">
        <f>SUM(D13:D16)*1000</f>
        <v>3725000</v>
      </c>
    </row>
    <row r="22" spans="1:5" x14ac:dyDescent="0.3">
      <c r="A22">
        <f>31/163</f>
        <v>0.19018404907975461</v>
      </c>
    </row>
    <row r="24" spans="1:5" ht="15" thickBot="1" x14ac:dyDescent="0.35"/>
    <row r="25" spans="1:5" ht="15" thickBot="1" x14ac:dyDescent="0.35">
      <c r="A25" s="68" t="s">
        <v>130</v>
      </c>
      <c r="B25" s="70">
        <v>2010</v>
      </c>
      <c r="C25" s="70">
        <v>2019</v>
      </c>
      <c r="D25" s="70" t="s">
        <v>100</v>
      </c>
    </row>
    <row r="26" spans="1:5" ht="21" thickBot="1" x14ac:dyDescent="0.35">
      <c r="A26" s="68" t="s">
        <v>142</v>
      </c>
      <c r="B26" s="69">
        <v>10014000</v>
      </c>
      <c r="C26" s="68">
        <f>B26*0.9759</f>
        <v>9772662.5999999996</v>
      </c>
      <c r="D26" s="70">
        <v>97.59</v>
      </c>
    </row>
    <row r="27" spans="1:5" ht="21" thickBot="1" x14ac:dyDescent="0.35">
      <c r="A27" s="68" t="s">
        <v>143</v>
      </c>
      <c r="B27" s="69">
        <v>90335</v>
      </c>
      <c r="C27" s="69">
        <v>89193</v>
      </c>
      <c r="D27" s="68">
        <f>100-(100*(C27/B27))</f>
        <v>1.2641833176509749</v>
      </c>
    </row>
    <row r="28" spans="1:5" ht="41.4" thickBot="1" x14ac:dyDescent="0.35">
      <c r="A28" s="68" t="s">
        <v>144</v>
      </c>
      <c r="B28" s="68">
        <v>9.02</v>
      </c>
      <c r="C28" s="70">
        <v>9.1300000000000008</v>
      </c>
      <c r="D28" s="68">
        <f>(100*(C28/B28))</f>
        <v>101.21951219512198</v>
      </c>
      <c r="E28">
        <f>ROUND(100*(9.13/9.02)/100,5)</f>
        <v>1.0122</v>
      </c>
    </row>
    <row r="29" spans="1:5" ht="30.6" x14ac:dyDescent="0.3">
      <c r="A29" s="64" t="s">
        <v>145</v>
      </c>
      <c r="B29" s="73">
        <v>23.8</v>
      </c>
      <c r="C29" s="71"/>
      <c r="D29" s="71"/>
    </row>
    <row r="30" spans="1:5" ht="31.2" thickBot="1" x14ac:dyDescent="0.35">
      <c r="A30" s="78" t="s">
        <v>146</v>
      </c>
      <c r="B30" s="74"/>
      <c r="C30" s="72"/>
      <c r="D30" s="72"/>
    </row>
    <row r="31" spans="1:5" ht="41.4" thickBot="1" x14ac:dyDescent="0.35">
      <c r="A31" s="68" t="s">
        <v>147</v>
      </c>
      <c r="B31" s="68"/>
      <c r="C31" s="69">
        <v>2218731</v>
      </c>
      <c r="D31" s="68"/>
    </row>
    <row r="32" spans="1:5" ht="40.799999999999997" x14ac:dyDescent="0.3">
      <c r="A32" s="64" t="s">
        <v>148</v>
      </c>
      <c r="B32" s="71"/>
      <c r="C32" s="71"/>
      <c r="D32" s="71"/>
    </row>
    <row r="33" spans="1:4" ht="21" thickBot="1" x14ac:dyDescent="0.35">
      <c r="A33" s="78" t="s">
        <v>149</v>
      </c>
      <c r="B33" s="72"/>
      <c r="C33" s="72"/>
      <c r="D33" s="72"/>
    </row>
  </sheetData>
  <mergeCells count="6">
    <mergeCell ref="B29:B30"/>
    <mergeCell ref="C29:C30"/>
    <mergeCell ref="D29:D30"/>
    <mergeCell ref="B32:B33"/>
    <mergeCell ref="C32:C33"/>
    <mergeCell ref="D32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17</vt:i4>
      </vt:variant>
    </vt:vector>
  </HeadingPairs>
  <TitlesOfParts>
    <vt:vector size="17" baseType="lpstr">
      <vt:lpstr>1zh</vt:lpstr>
      <vt:lpstr>2zh</vt:lpstr>
      <vt:lpstr>zh1 gyak</vt:lpstr>
      <vt:lpstr>zh2 gyak</vt:lpstr>
      <vt:lpstr>vizsgagyak1</vt:lpstr>
      <vt:lpstr>v2</vt:lpstr>
      <vt:lpstr>v3</vt:lpstr>
      <vt:lpstr>v4</vt:lpstr>
      <vt:lpstr>v5</vt:lpstr>
      <vt:lpstr>v6</vt:lpstr>
      <vt:lpstr>v7</vt:lpstr>
      <vt:lpstr>v8</vt:lpstr>
      <vt:lpstr>v9</vt:lpstr>
      <vt:lpstr>v10</vt:lpstr>
      <vt:lpstr>v11</vt:lpstr>
      <vt:lpstr>v12</vt:lpstr>
      <vt:lpstr>v13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Pogány Bence</dc:creator>
  <cp:lastModifiedBy>Pogány Bence</cp:lastModifiedBy>
  <dcterms:created xsi:type="dcterms:W3CDTF">2026-05-27T11:54:11Z</dcterms:created>
  <dcterms:modified xsi:type="dcterms:W3CDTF">2026-06-02T15:21:33Z</dcterms:modified>
</cp:coreProperties>
</file>